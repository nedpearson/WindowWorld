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hmanuel\Desktop\"/>
    </mc:Choice>
  </mc:AlternateContent>
  <xr:revisionPtr revIDLastSave="0" documentId="13_ncr:1_{B317D555-07E6-4CAF-80C8-AF20FE06ABD8}" xr6:coauthVersionLast="47" xr6:coauthVersionMax="47" xr10:uidLastSave="{00000000-0000-0000-0000-000000000000}"/>
  <bookViews>
    <workbookView xWindow="-98" yWindow="-98" windowWidth="21795" windowHeight="13875" tabRatio="733" xr2:uid="{00000000-000D-0000-FFFF-FFFF00000000}"/>
  </bookViews>
  <sheets>
    <sheet name="Commission" sheetId="5" r:id="rId1"/>
  </sheets>
  <definedNames>
    <definedName name="_1Excel_BuiltIn_Print_Area_1">#REF!</definedName>
    <definedName name="_2Excel_BuiltIn_Print_Area_3">#REF!</definedName>
    <definedName name="Address">#REF!</definedName>
    <definedName name="AdministrativeFee">#REF!</definedName>
    <definedName name="AlumStuccoRemovalRange">#REF!</definedName>
    <definedName name="AmiEstimatorId">#REF!</definedName>
    <definedName name="AmtFinanced">#REF!</definedName>
    <definedName name="ApptDate">#REF!</definedName>
    <definedName name="ArgonGasQty">#REF!</definedName>
    <definedName name="BalanceToCollect">#REF!</definedName>
    <definedName name="BayWindowQty">#REF!</definedName>
    <definedName name="BeigeColor">#REF!</definedName>
    <definedName name="BeigeColorQty">#REF!</definedName>
    <definedName name="CapTrim">#REF!</definedName>
    <definedName name="CasementAwning1">#REF!</definedName>
    <definedName name="CasementAwning2">#REF!</definedName>
    <definedName name="CasementAwning3">#REF!</definedName>
    <definedName name="CasementAwningAll">#REF!</definedName>
    <definedName name="CasementAwningQty">#REF!</definedName>
    <definedName name="CellPhone">#REF!</definedName>
    <definedName name="City">#REF!</definedName>
    <definedName name="CityStateZip">#REF!</definedName>
    <definedName name="ColonialContouredGridsQty">#REF!</definedName>
    <definedName name="ColorRange">#REF!</definedName>
    <definedName name="CustId">#REF!</definedName>
    <definedName name="CustName">#REF!</definedName>
    <definedName name="CustomJambQty">#REF!</definedName>
    <definedName name="CustomTrim">#REF!</definedName>
    <definedName name="CustomTrimQty">#REF!</definedName>
    <definedName name="DoorGridRange">#REF!</definedName>
    <definedName name="DoorLe">#REF!</definedName>
    <definedName name="DoorLee">#REF!</definedName>
    <definedName name="DoorLeeRange">#REF!</definedName>
    <definedName name="DoorLeRange">#REF!</definedName>
    <definedName name="DoubleHung2000Price">#REF!</definedName>
    <definedName name="DoubleHung2000Qty">#REF!</definedName>
    <definedName name="DoubleHung4000Price">#REF!</definedName>
    <definedName name="DoubleHung4000Qty">#REF!</definedName>
    <definedName name="DoubleHung6000Price">#REF!</definedName>
    <definedName name="DoubleHung6000Qty">#REF!</definedName>
    <definedName name="DoubleLocksQty">#REF!</definedName>
    <definedName name="EmailAddress">#REF!</definedName>
    <definedName name="EnergyStarQty">#REF!</definedName>
    <definedName name="EntryDoorQty">Commission!$A$41</definedName>
    <definedName name="Estimator">#REF!</definedName>
    <definedName name="EstimatorId">#REF!</definedName>
    <definedName name="EstimatorPhone">#REF!</definedName>
    <definedName name="ESVPQty">#REF!</definedName>
    <definedName name="ExteriorCappingQty">#REF!</definedName>
    <definedName name="ExternalColorQty">#REF!</definedName>
    <definedName name="FinishAndTrim">#REF!</definedName>
    <definedName name="FoamInsulationWrapQty">#REF!</definedName>
    <definedName name="FullScreen">#REF!</definedName>
    <definedName name="FullScreenPrice">#REF!</definedName>
    <definedName name="FullScreenQty">#REF!</definedName>
    <definedName name="FullScreenRange">#REF!</definedName>
    <definedName name="GlassOptionLe">#REF!</definedName>
    <definedName name="GlassOptionLee">#REF!</definedName>
    <definedName name="GlassOptionRange">#REF!</definedName>
    <definedName name="GridsDoor">#REF!</definedName>
    <definedName name="GridsPatioDoorQty">#REF!</definedName>
    <definedName name="GridStyleRange">#REF!</definedName>
    <definedName name="GridsWindow">#REF!</definedName>
    <definedName name="HalfScreenQty">#REF!</definedName>
    <definedName name="HomePhone">#REF!</definedName>
    <definedName name="ImpactWindowsQty">Commission!$A$39</definedName>
    <definedName name="InstallExtCappingPrice">#REF!</definedName>
    <definedName name="JobAmount">#REF!</definedName>
    <definedName name="LifetimeGlassWarrantyQty">#REF!</definedName>
    <definedName name="MiscLabor1Desc">#REF!</definedName>
    <definedName name="MiscLabor1Price">#REF!</definedName>
    <definedName name="MiscLabor1Qty">#REF!</definedName>
    <definedName name="MiscLabor2Desc">#REF!</definedName>
    <definedName name="MiscLabor2Price">#REF!</definedName>
    <definedName name="MiscLabor2Qty">#REF!</definedName>
    <definedName name="MiscLabor3Desc">#REF!</definedName>
    <definedName name="MiscLabor3Price">#REF!</definedName>
    <definedName name="MiscLabor3Qty">#REF!</definedName>
    <definedName name="MiscPatioDoorDesc">#REF!</definedName>
    <definedName name="MiscPatioDoorPrice">#REF!</definedName>
    <definedName name="MiscPatioDoorQty">#REF!</definedName>
    <definedName name="Model0201">#REF!</definedName>
    <definedName name="Model0202">#REF!</definedName>
    <definedName name="Model0203">#REF!</definedName>
    <definedName name="Model0204">#REF!</definedName>
    <definedName name="Model0209">#REF!</definedName>
    <definedName name="Model0401">#REF!</definedName>
    <definedName name="Model0402">#REF!</definedName>
    <definedName name="Model0403">#REF!</definedName>
    <definedName name="Model0404">#REF!</definedName>
    <definedName name="Model0409">#REF!</definedName>
    <definedName name="Model0501">#REF!</definedName>
    <definedName name="Model0502">#REF!</definedName>
    <definedName name="Model0503">#REF!</definedName>
    <definedName name="Model0504">#REF!</definedName>
    <definedName name="Model0509">#REF!</definedName>
    <definedName name="Model0522">#REF!</definedName>
    <definedName name="Model0523">#REF!</definedName>
    <definedName name="Model0529">#REF!</definedName>
    <definedName name="Model0601">#REF!</definedName>
    <definedName name="Model0602">#REF!</definedName>
    <definedName name="Model0603">#REF!</definedName>
    <definedName name="Model0609">#REF!</definedName>
    <definedName name="Model0614">#REF!</definedName>
    <definedName name="Model0901">#REF!</definedName>
    <definedName name="Model0902">#REF!</definedName>
    <definedName name="Model0903">#REF!</definedName>
    <definedName name="Model0909">#REF!</definedName>
    <definedName name="Model0914">#REF!</definedName>
    <definedName name="Model0951">#REF!</definedName>
    <definedName name="Model0952">#REF!</definedName>
    <definedName name="Model0954">#REF!</definedName>
    <definedName name="Model0955">#REF!</definedName>
    <definedName name="Model0970">#REF!</definedName>
    <definedName name="Model0971">#REF!</definedName>
    <definedName name="Model0972">#REF!</definedName>
    <definedName name="Model0973">#REF!</definedName>
    <definedName name="Model0979">#REF!</definedName>
    <definedName name="Model6105">#REF!</definedName>
    <definedName name="Model6106">#REF!</definedName>
    <definedName name="Model6108">#REF!</definedName>
    <definedName name="Model6109">#REF!</definedName>
    <definedName name="Model6112">#REF!</definedName>
    <definedName name="Model6122">#REF!</definedName>
    <definedName name="ModelRange">#REF!</definedName>
    <definedName name="ModelS105">#REF!</definedName>
    <definedName name="ModelS110">#REF!</definedName>
    <definedName name="ModelS111">#REF!</definedName>
    <definedName name="ModelS112">#REF!</definedName>
    <definedName name="ModelS113">#REF!</definedName>
    <definedName name="ModelS114">#REF!</definedName>
    <definedName name="ModelS115">#REF!</definedName>
    <definedName name="ModelS116">#REF!</definedName>
    <definedName name="ModelS117">#REF!</definedName>
    <definedName name="ModelS118">#REF!</definedName>
    <definedName name="ModelS119">#REF!</definedName>
    <definedName name="ModelS120">#REF!</definedName>
    <definedName name="ModelS121">#REF!</definedName>
    <definedName name="ModelS122">#REF!</definedName>
    <definedName name="ModelS123">#REF!</definedName>
    <definedName name="ModelS124">#REF!</definedName>
    <definedName name="ModelS125">#REF!</definedName>
    <definedName name="ModelS126">#REF!</definedName>
    <definedName name="ModelS127">#REF!</definedName>
    <definedName name="ModelS128">#REF!</definedName>
    <definedName name="ModelS129">#REF!</definedName>
    <definedName name="ModelS130">#REF!</definedName>
    <definedName name="ModelS131">#REF!</definedName>
    <definedName name="ModelS132">#REF!</definedName>
    <definedName name="ModelS133">#REF!</definedName>
    <definedName name="ModelS140">#REF!</definedName>
    <definedName name="ModelS144">#REF!</definedName>
    <definedName name="ModelS146">#REF!</definedName>
    <definedName name="Mullion">#REF!</definedName>
    <definedName name="MullionQty">#REF!</definedName>
    <definedName name="MullTypeRange">#REF!</definedName>
    <definedName name="NumWindows">Commission!$T$7</definedName>
    <definedName name="NumWinsRange">#REF!</definedName>
    <definedName name="ObscureBottomRange">#REF!</definedName>
    <definedName name="ObscureFullRange">#REF!</definedName>
    <definedName name="ObscureGlass">#REF!</definedName>
    <definedName name="ObscureGlassQty">#REF!</definedName>
    <definedName name="Option1Desc">#REF!</definedName>
    <definedName name="Option1Price">#REF!</definedName>
    <definedName name="Option1Qty">#REF!</definedName>
    <definedName name="Option2Desc">#REF!</definedName>
    <definedName name="Option2Price">#REF!</definedName>
    <definedName name="Option2Qty">#REF!</definedName>
    <definedName name="Oriel">#REF!</definedName>
    <definedName name="OrielCottageQty">#REF!</definedName>
    <definedName name="OrielDimRange">#REF!</definedName>
    <definedName name="PatioDoor06Qty">#REF!</definedName>
    <definedName name="PatioDoor08Qty">#REF!</definedName>
    <definedName name="PatioDoor09Qty">#REF!</definedName>
    <definedName name="PatioDoor12Qty">#REF!</definedName>
    <definedName name="PatioDoorQty">#REF!</definedName>
    <definedName name="PictureWindow">#REF!</definedName>
    <definedName name="PictureWindowPrice">#REF!</definedName>
    <definedName name="PictureWindowQty">#REF!</definedName>
    <definedName name="_xlnm.Print_Area" localSheetId="0">Commission!$A$1:$W$51</definedName>
    <definedName name="Region">#REF!</definedName>
    <definedName name="RegularMull">#REF!</definedName>
    <definedName name="RemovalTypeRange">#REF!</definedName>
    <definedName name="RemoveAlum">#REF!</definedName>
    <definedName name="RemoveAlumStucco">#REF!</definedName>
    <definedName name="RemoveAlumStuccoQty">#REF!</definedName>
    <definedName name="RemoveAlumWindowQty">#REF!</definedName>
    <definedName name="RemoveSteel">#REF!</definedName>
    <definedName name="RemoveSteelStucco">#REF!</definedName>
    <definedName name="RemoveSteelStuccoQty">#REF!</definedName>
    <definedName name="RemoveSteelWindowQty">#REF!</definedName>
    <definedName name="RemoveStorm">#REF!</definedName>
    <definedName name="RemoveStormWindowQty">#REF!</definedName>
    <definedName name="RepairSillQty">#REF!</definedName>
    <definedName name="ScreenTypeFull">#REF!</definedName>
    <definedName name="SecondStoryQty">#REF!</definedName>
    <definedName name="Series6000UpchargeQty">#REF!</definedName>
    <definedName name="Series6000Upsell">#REF!</definedName>
    <definedName name="ShuttersQty">#REF!</definedName>
    <definedName name="SolarZoneLeDoorQty">#REF!</definedName>
    <definedName name="SolarZoneLeeDoorQty">#REF!</definedName>
    <definedName name="SolarZoneLeeQty">#REF!</definedName>
    <definedName name="SolarZoneLeQty">#REF!</definedName>
    <definedName name="SpecialShapeOperatingSash">#REF!</definedName>
    <definedName name="SpecialShapeQty">#REF!</definedName>
    <definedName name="SpecialtyWindow1Desc">#REF!</definedName>
    <definedName name="SpecialtyWindow1Price">#REF!</definedName>
    <definedName name="SpecialtyWindow1Qty">#REF!</definedName>
    <definedName name="SpecialtyWindow2Desc">#REF!</definedName>
    <definedName name="SpecialtyWindow2Price">#REF!</definedName>
    <definedName name="SpecialtyWindow2Qty">#REF!</definedName>
    <definedName name="SpecialtyWindow3Desc">#REF!</definedName>
    <definedName name="SpecialtyWindow3Price">#REF!</definedName>
    <definedName name="SpecialtyWindow3Qty">#REF!</definedName>
    <definedName name="SpecialtyWindowQty1">#REF!</definedName>
    <definedName name="State">#REF!</definedName>
    <definedName name="SteelStuccoRemovalRange">#REF!</definedName>
    <definedName name="StoreAmiId">#REF!</definedName>
    <definedName name="StoreId">#REF!</definedName>
    <definedName name="StormDoorQty">Commission!$A$42</definedName>
    <definedName name="StructuralMullQty">#REF!</definedName>
    <definedName name="TemperedGlassQty">#REF!</definedName>
    <definedName name="ThreeLiteSlider">#REF!</definedName>
    <definedName name="ThreeLiteSliderPrice">#REF!</definedName>
    <definedName name="ThreeLiteSliderQty">#REF!</definedName>
    <definedName name="TotalCommissions">Commission!$T$44</definedName>
    <definedName name="TrimRange">#REF!</definedName>
    <definedName name="TwoLiteSlider">#REF!</definedName>
    <definedName name="TwoLiteSliderPrice">#REF!</definedName>
    <definedName name="TwoLiteSliderQty">#REF!</definedName>
    <definedName name="ValuePlusQty">#REF!</definedName>
    <definedName name="VinylTrim">#REF!</definedName>
    <definedName name="WindowGrid">#REF!</definedName>
    <definedName name="WindowGridRange">#REF!</definedName>
    <definedName name="WindowLe">#REF!</definedName>
    <definedName name="WindowLee">#REF!</definedName>
    <definedName name="WindowLeeRange">#REF!</definedName>
    <definedName name="WindowLeRange">#REF!</definedName>
    <definedName name="WoodGrain">#REF!</definedName>
    <definedName name="WoodGrainQty">#REF!</definedName>
    <definedName name="WoodgrainRange">#REF!</definedName>
    <definedName name="WorkPhone">#REF!</definedName>
    <definedName name="YearBuilt">#REF!</definedName>
    <definedName name="Zi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5" l="1"/>
  <c r="V14" i="5"/>
  <c r="V13" i="5"/>
  <c r="V18" i="5"/>
  <c r="V17" i="5"/>
  <c r="V16" i="5"/>
  <c r="V12" i="5"/>
  <c r="V19" i="5"/>
  <c r="V11" i="5"/>
  <c r="I37" i="5"/>
  <c r="I35" i="5"/>
  <c r="I34" i="5"/>
  <c r="I36" i="5"/>
  <c r="V42" i="5"/>
  <c r="I30" i="5"/>
  <c r="V30" i="5"/>
  <c r="V35" i="5"/>
  <c r="I14" i="5"/>
  <c r="I27" i="5"/>
  <c r="I16" i="5"/>
  <c r="I17" i="5"/>
  <c r="I18" i="5"/>
  <c r="AB26" i="5"/>
  <c r="AB27" i="5"/>
  <c r="AB18" i="5"/>
  <c r="AB19" i="5"/>
  <c r="I19" i="5"/>
  <c r="I20" i="5"/>
  <c r="V20" i="5"/>
  <c r="I22" i="5"/>
  <c r="V21" i="5"/>
  <c r="I23" i="5"/>
  <c r="V23" i="5"/>
  <c r="C25" i="5"/>
  <c r="I25" i="5"/>
  <c r="V24" i="5"/>
  <c r="V26" i="5"/>
  <c r="AD26" i="5"/>
  <c r="AD27" i="5"/>
  <c r="AE26" i="5"/>
  <c r="AE27" i="5"/>
  <c r="V28" i="5"/>
  <c r="V29" i="5"/>
  <c r="I31" i="5"/>
  <c r="V31" i="5"/>
  <c r="I32" i="5"/>
  <c r="V32" i="5"/>
  <c r="I33" i="5"/>
  <c r="V33" i="5"/>
  <c r="V36" i="5"/>
  <c r="V37" i="5"/>
  <c r="I39" i="5"/>
  <c r="V39" i="5"/>
  <c r="V40" i="5"/>
  <c r="I40" i="5"/>
  <c r="V41" i="5"/>
  <c r="I42" i="5"/>
  <c r="I43" i="5"/>
  <c r="I21" i="5"/>
  <c r="I41" i="5"/>
  <c r="AA26" i="5"/>
  <c r="AA27" i="5"/>
  <c r="AA18" i="5"/>
  <c r="AA19" i="5"/>
  <c r="C27" i="5"/>
  <c r="T46" i="5"/>
  <c r="T45" i="5" l="1"/>
</calcChain>
</file>

<file path=xl/sharedStrings.xml><?xml version="1.0" encoding="utf-8"?>
<sst xmlns="http://schemas.openxmlformats.org/spreadsheetml/2006/main" count="111" uniqueCount="96">
  <si>
    <t>Region:</t>
  </si>
  <si>
    <t>Name:</t>
  </si>
  <si>
    <t>Windows</t>
  </si>
  <si>
    <t>Options</t>
  </si>
  <si>
    <t xml:space="preserve"> Full Screen</t>
  </si>
  <si>
    <t xml:space="preserve"> Wood Grain - Inside Surface</t>
  </si>
  <si>
    <t>Other Styles</t>
  </si>
  <si>
    <t xml:space="preserve"> Picture Window</t>
  </si>
  <si>
    <t xml:space="preserve"> 2 Lite Slider</t>
  </si>
  <si>
    <t xml:space="preserve"> 3 Lite Slider</t>
  </si>
  <si>
    <t xml:space="preserve"> Tempered Glass Sq Ft.</t>
  </si>
  <si>
    <t>$7/Sq.ft</t>
  </si>
  <si>
    <t xml:space="preserve"> Casement / Awning</t>
  </si>
  <si>
    <t xml:space="preserve"> Obscure Glass</t>
  </si>
  <si>
    <t>Specialty Windows</t>
  </si>
  <si>
    <t xml:space="preserve"> Colonial / Contoured Grids</t>
  </si>
  <si>
    <t xml:space="preserve"> Exterior Color</t>
  </si>
  <si>
    <t>Additional Labor Charges</t>
  </si>
  <si>
    <t xml:space="preserve"> Remove Storm Window</t>
  </si>
  <si>
    <t xml:space="preserve"> Remove Steel Window</t>
  </si>
  <si>
    <t xml:space="preserve"> Remove Aluminum In Stucco</t>
  </si>
  <si>
    <t xml:space="preserve"> Custom Jamb/Sill Cutback</t>
  </si>
  <si>
    <t xml:space="preserve"> Install Exterior Capping</t>
  </si>
  <si>
    <t xml:space="preserve"> Install Custom Int/Ext Trim</t>
  </si>
  <si>
    <t xml:space="preserve"> Install Mullion for multi-unit</t>
  </si>
  <si>
    <t xml:space="preserve"> 2nd Story Charge</t>
  </si>
  <si>
    <t xml:space="preserve"> Bay Window Finish &amp; Trim</t>
  </si>
  <si>
    <t xml:space="preserve"> Grids - Patio Door</t>
  </si>
  <si>
    <r>
      <t xml:space="preserve">Window World </t>
    </r>
    <r>
      <rPr>
        <b/>
        <sz val="24"/>
        <rFont val="Arial"/>
        <family val="2"/>
      </rPr>
      <t>Commission Sheet</t>
    </r>
  </si>
  <si>
    <t>Customer ID:</t>
  </si>
  <si>
    <t>Home Phone:</t>
  </si>
  <si>
    <t>Sales Date:</t>
  </si>
  <si>
    <t>Rep #:</t>
  </si>
  <si>
    <t>Sales Rep:</t>
  </si>
  <si>
    <t>Street:</t>
  </si>
  <si>
    <t>Result:</t>
  </si>
  <si>
    <t>City,St,Zip:</t>
  </si>
  <si>
    <t># Windows:</t>
  </si>
  <si>
    <t>Job Amount:</t>
  </si>
  <si>
    <t xml:space="preserve"> Double Hung</t>
  </si>
  <si>
    <t>A</t>
  </si>
  <si>
    <t>B</t>
  </si>
  <si>
    <t>LE / VP</t>
  </si>
  <si>
    <t>&lt;1</t>
  </si>
  <si>
    <t>&gt;1 + &gt;58</t>
  </si>
  <si>
    <t xml:space="preserve"> Oriel Style (40/60 or 60/40)</t>
  </si>
  <si>
    <t xml:space="preserve"> Special Shape w/ Oper. Sash</t>
  </si>
  <si>
    <t>BOOK</t>
  </si>
  <si>
    <t>Colonial</t>
  </si>
  <si>
    <t>Contoured</t>
  </si>
  <si>
    <t>20% Off</t>
  </si>
  <si>
    <t>&gt;1 + $75</t>
  </si>
  <si>
    <t>&gt;1 + $59</t>
  </si>
  <si>
    <t>IF = $75</t>
  </si>
  <si>
    <t>A , B</t>
  </si>
  <si>
    <t>Patio Doors</t>
  </si>
  <si>
    <t xml:space="preserve"> VSP Vinyl Rolling Door 6'</t>
  </si>
  <si>
    <t xml:space="preserve"> VSP Vinyl Rolling Door 8'</t>
  </si>
  <si>
    <t xml:space="preserve"> VSP Vinyl Rolling Door 9'</t>
  </si>
  <si>
    <t xml:space="preserve"> Structural Mullion multi-unit</t>
  </si>
  <si>
    <t xml:space="preserve"> VSP Vinyl Rolling Door 12'</t>
  </si>
  <si>
    <t xml:space="preserve"> Repair Sill OR Jamb Per Foot</t>
  </si>
  <si>
    <t>Other Products</t>
  </si>
  <si>
    <t xml:space="preserve"> Impact Windows        Job Amt $</t>
  </si>
  <si>
    <t xml:space="preserve"> Vinyl Siding               Job Amt $</t>
  </si>
  <si>
    <t xml:space="preserve"> Decorative Shutters Per Pair</t>
  </si>
  <si>
    <t xml:space="preserve"> Administrative Fee</t>
  </si>
  <si>
    <t>Total Commissions  $</t>
  </si>
  <si>
    <t xml:space="preserve"> 5200 Series Sliding Patio Door</t>
  </si>
  <si>
    <t>AVG Commission Per Window  $</t>
  </si>
  <si>
    <t xml:space="preserve">COMMENTS: </t>
  </si>
  <si>
    <t>Form # CS-2400</t>
  </si>
  <si>
    <t>________________________</t>
  </si>
  <si>
    <t>_____</t>
  </si>
  <si>
    <t>Energy Star Pack - ESP</t>
  </si>
  <si>
    <t>Integrated Mini Blinds</t>
  </si>
  <si>
    <t xml:space="preserve"> Beige / Clay</t>
  </si>
  <si>
    <t xml:space="preserve"> SolarZone LE / LEE</t>
  </si>
  <si>
    <t>Value Plus Pack - VPP</t>
  </si>
  <si>
    <t>TG2 Energy Star - ESP</t>
  </si>
  <si>
    <t xml:space="preserve"> Header Flashing (req for siding)</t>
  </si>
  <si>
    <t xml:space="preserve"> Maintenance Agreement</t>
  </si>
  <si>
    <t>BTR</t>
  </si>
  <si>
    <t>$25/Ft</t>
  </si>
  <si>
    <t xml:space="preserve"> Wincore Entry Door</t>
  </si>
  <si>
    <t xml:space="preserve"> Window/Patio Door Removal</t>
  </si>
  <si>
    <t>Vinyl Patio Door Trim</t>
  </si>
  <si>
    <t>$60/pn</t>
  </si>
  <si>
    <t xml:space="preserve"> 4000    DH Mech/Weld      3001</t>
  </si>
  <si>
    <t xml:space="preserve"> 4000    DH Foam Enh.  3001-FE</t>
  </si>
  <si>
    <t xml:space="preserve"> Foam Enhanced Upcharge - Add</t>
  </si>
  <si>
    <t xml:space="preserve"> Double Casement / Awning</t>
  </si>
  <si>
    <t xml:space="preserve"> J-Channel</t>
  </si>
  <si>
    <t>$90/$110</t>
  </si>
  <si>
    <t>$115/$135</t>
  </si>
  <si>
    <t>Revised 6/2/2023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</si>
</sst>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\$#,##0"/>
    <numFmt numFmtId="165" formatCode="[&lt;=9999999]###\-####;\(###&quot;) &quot;###\-####"/>
    <numFmt numFmtId="166" formatCode="\$#,##0.00"/>
    <numFmt numFmtId="167" formatCode="mm/dd/yy;@"/>
    <numFmt numFmtId="168" formatCode="_(\$* #,##0.00_);_(\$* \(#,##0.00\);_(\$* \-??_);_(@_)"/>
    <numFmt numFmtId="169" formatCode="\$#,##0_);[Red]&quot;($&quot;#,##0\)"/>
    <numFmt numFmtId="170" formatCode="&quot;$&quot;#,##0.00"/>
  </numFmts>
  <fonts count="19">
    <font>
      <sz val="10"/>
      <name val="Arial"/>
      <family val="2"/>
    </font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b/>
      <u/>
      <sz val="9"/>
      <name val="Arial"/>
      <family val="2"/>
    </font>
    <font>
      <b/>
      <sz val="10"/>
      <name val="Arial"/>
      <family val="2"/>
    </font>
    <font>
      <sz val="11"/>
      <color indexed="20"/>
      <name val="Calibri"/>
      <family val="2"/>
    </font>
    <font>
      <sz val="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36"/>
      <name val="Banty S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</fills>
  <borders count="3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</borders>
  <cellStyleXfs count="8">
    <xf numFmtId="0" fontId="0" fillId="0" borderId="0"/>
    <xf numFmtId="168" fontId="18" fillId="0" borderId="0" applyFill="0" applyBorder="0" applyAlignment="0" applyProtection="0"/>
    <xf numFmtId="0" fontId="10" fillId="2" borderId="0" applyNumberFormat="0" applyBorder="0" applyAlignment="0" applyProtection="0"/>
    <xf numFmtId="0" fontId="18" fillId="0" borderId="0"/>
    <xf numFmtId="0" fontId="18" fillId="0" borderId="0"/>
    <xf numFmtId="0" fontId="1" fillId="0" borderId="0"/>
    <xf numFmtId="9" fontId="1" fillId="0" borderId="0" applyFill="0" applyBorder="0" applyAlignment="0" applyProtection="0"/>
    <xf numFmtId="9" fontId="18" fillId="0" borderId="0" applyFill="0" applyBorder="0" applyAlignment="0" applyProtection="0"/>
  </cellStyleXfs>
  <cellXfs count="170">
    <xf numFmtId="0" fontId="0" fillId="0" borderId="0" xfId="0"/>
    <xf numFmtId="0" fontId="18" fillId="0" borderId="0" xfId="4" applyAlignment="1">
      <alignment horizontal="right"/>
    </xf>
    <xf numFmtId="0" fontId="18" fillId="0" borderId="0" xfId="4" applyAlignment="1">
      <alignment horizontal="center"/>
    </xf>
    <xf numFmtId="0" fontId="18" fillId="0" borderId="0" xfId="4"/>
    <xf numFmtId="164" fontId="2" fillId="0" borderId="0" xfId="4" applyNumberFormat="1" applyFont="1" applyAlignment="1">
      <alignment horizontal="right"/>
    </xf>
    <xf numFmtId="0" fontId="18" fillId="0" borderId="0" xfId="4" applyAlignment="1">
      <alignment horizontal="left"/>
    </xf>
    <xf numFmtId="164" fontId="3" fillId="0" borderId="0" xfId="4" applyNumberFormat="1" applyFont="1"/>
    <xf numFmtId="0" fontId="0" fillId="0" borderId="0" xfId="4" applyFont="1"/>
    <xf numFmtId="0" fontId="4" fillId="0" borderId="1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17" fillId="0" borderId="2" xfId="4" applyFont="1" applyBorder="1" applyAlignment="1">
      <alignment horizontal="right"/>
    </xf>
    <xf numFmtId="0" fontId="0" fillId="0" borderId="2" xfId="4" applyFont="1" applyBorder="1" applyAlignment="1">
      <alignment horizontal="left" indent="1"/>
    </xf>
    <xf numFmtId="164" fontId="2" fillId="0" borderId="2" xfId="4" applyNumberFormat="1" applyFont="1" applyBorder="1" applyAlignment="1">
      <alignment horizontal="right"/>
    </xf>
    <xf numFmtId="0" fontId="0" fillId="0" borderId="2" xfId="4" applyFont="1" applyBorder="1"/>
    <xf numFmtId="0" fontId="4" fillId="0" borderId="3" xfId="4" applyFont="1" applyBorder="1" applyAlignment="1">
      <alignment horizontal="right"/>
    </xf>
    <xf numFmtId="0" fontId="17" fillId="0" borderId="3" xfId="4" applyFont="1" applyBorder="1" applyAlignment="1">
      <alignment horizontal="right"/>
    </xf>
    <xf numFmtId="167" fontId="4" fillId="0" borderId="3" xfId="4" applyNumberFormat="1" applyFont="1" applyBorder="1" applyAlignment="1">
      <alignment horizontal="left" indent="1"/>
    </xf>
    <xf numFmtId="0" fontId="18" fillId="0" borderId="4" xfId="4" applyBorder="1"/>
    <xf numFmtId="0" fontId="18" fillId="0" borderId="2" xfId="4" applyBorder="1"/>
    <xf numFmtId="0" fontId="18" fillId="0" borderId="3" xfId="4" applyBorder="1"/>
    <xf numFmtId="0" fontId="0" fillId="0" borderId="3" xfId="4" applyFont="1" applyBorder="1"/>
    <xf numFmtId="0" fontId="4" fillId="0" borderId="2" xfId="4" applyFont="1" applyBorder="1" applyAlignment="1">
      <alignment horizontal="right"/>
    </xf>
    <xf numFmtId="0" fontId="18" fillId="0" borderId="3" xfId="4" applyBorder="1" applyAlignment="1">
      <alignment horizontal="left"/>
    </xf>
    <xf numFmtId="0" fontId="0" fillId="0" borderId="3" xfId="4" applyFont="1" applyBorder="1" applyAlignment="1">
      <alignment horizontal="center"/>
    </xf>
    <xf numFmtId="0" fontId="18" fillId="0" borderId="2" xfId="4" applyBorder="1" applyAlignment="1">
      <alignment horizontal="left"/>
    </xf>
    <xf numFmtId="0" fontId="0" fillId="0" borderId="2" xfId="4" applyFont="1" applyBorder="1" applyAlignment="1">
      <alignment horizontal="center"/>
    </xf>
    <xf numFmtId="0" fontId="18" fillId="0" borderId="2" xfId="4" applyBorder="1" applyAlignment="1">
      <alignment horizontal="center"/>
    </xf>
    <xf numFmtId="165" fontId="0" fillId="0" borderId="2" xfId="4" applyNumberFormat="1" applyFont="1" applyBorder="1" applyAlignment="1">
      <alignment horizontal="left" indent="1"/>
    </xf>
    <xf numFmtId="0" fontId="0" fillId="0" borderId="2" xfId="4" applyFont="1" applyBorder="1" applyAlignment="1">
      <alignment horizontal="right"/>
    </xf>
    <xf numFmtId="0" fontId="18" fillId="0" borderId="2" xfId="4" applyBorder="1" applyAlignment="1">
      <alignment horizontal="left" indent="1"/>
    </xf>
    <xf numFmtId="0" fontId="0" fillId="0" borderId="5" xfId="4" applyFont="1" applyBorder="1" applyAlignment="1">
      <alignment horizontal="center"/>
    </xf>
    <xf numFmtId="0" fontId="0" fillId="0" borderId="0" xfId="4" applyFont="1" applyAlignment="1">
      <alignment horizontal="center"/>
    </xf>
    <xf numFmtId="0" fontId="0" fillId="0" borderId="0" xfId="4" applyFont="1" applyAlignment="1">
      <alignment horizontal="right"/>
    </xf>
    <xf numFmtId="0" fontId="0" fillId="0" borderId="0" xfId="4" applyFont="1" applyAlignment="1">
      <alignment horizontal="left"/>
    </xf>
    <xf numFmtId="0" fontId="0" fillId="0" borderId="4" xfId="4" applyFont="1" applyBorder="1"/>
    <xf numFmtId="0" fontId="14" fillId="0" borderId="0" xfId="4" applyFont="1" applyAlignment="1">
      <alignment vertical="center"/>
    </xf>
    <xf numFmtId="0" fontId="8" fillId="0" borderId="0" xfId="4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6" xfId="4" applyFont="1" applyBorder="1" applyAlignment="1">
      <alignment horizontal="center"/>
    </xf>
    <xf numFmtId="164" fontId="0" fillId="0" borderId="0" xfId="4" applyNumberFormat="1" applyFont="1"/>
    <xf numFmtId="164" fontId="0" fillId="0" borderId="6" xfId="4" applyNumberFormat="1" applyFont="1" applyBorder="1" applyAlignment="1">
      <alignment horizontal="center"/>
    </xf>
    <xf numFmtId="164" fontId="0" fillId="0" borderId="0" xfId="4" applyNumberFormat="1" applyFont="1" applyAlignment="1">
      <alignment horizontal="right"/>
    </xf>
    <xf numFmtId="164" fontId="18" fillId="0" borderId="6" xfId="1" applyNumberFormat="1" applyFill="1" applyBorder="1" applyAlignment="1" applyProtection="1">
      <alignment horizontal="center"/>
    </xf>
    <xf numFmtId="0" fontId="0" fillId="0" borderId="7" xfId="4" applyFont="1" applyBorder="1"/>
    <xf numFmtId="0" fontId="7" fillId="0" borderId="0" xfId="4" applyFont="1" applyAlignment="1">
      <alignment horizontal="left" vertical="top"/>
    </xf>
    <xf numFmtId="0" fontId="0" fillId="0" borderId="8" xfId="4" applyFont="1" applyBorder="1" applyAlignment="1">
      <alignment horizontal="center"/>
    </xf>
    <xf numFmtId="164" fontId="0" fillId="0" borderId="9" xfId="4" applyNumberFormat="1" applyFont="1" applyBorder="1" applyAlignment="1">
      <alignment horizontal="center"/>
    </xf>
    <xf numFmtId="164" fontId="0" fillId="0" borderId="10" xfId="4" applyNumberFormat="1" applyFont="1" applyBorder="1" applyAlignment="1">
      <alignment horizontal="center"/>
    </xf>
    <xf numFmtId="164" fontId="0" fillId="0" borderId="0" xfId="4" applyNumberFormat="1" applyFont="1" applyAlignment="1">
      <alignment horizontal="center"/>
    </xf>
    <xf numFmtId="169" fontId="0" fillId="0" borderId="0" xfId="4" applyNumberFormat="1" applyFont="1"/>
    <xf numFmtId="9" fontId="0" fillId="0" borderId="6" xfId="7" applyFont="1" applyFill="1" applyBorder="1" applyAlignment="1" applyProtection="1">
      <alignment horizontal="center"/>
    </xf>
    <xf numFmtId="0" fontId="0" fillId="0" borderId="11" xfId="4" applyFont="1" applyBorder="1" applyAlignment="1">
      <alignment horizontal="center"/>
    </xf>
    <xf numFmtId="0" fontId="0" fillId="0" borderId="12" xfId="4" applyFont="1" applyBorder="1" applyAlignment="1">
      <alignment horizontal="center"/>
    </xf>
    <xf numFmtId="0" fontId="0" fillId="0" borderId="7" xfId="4" applyFont="1" applyBorder="1" applyAlignment="1">
      <alignment horizontal="center"/>
    </xf>
    <xf numFmtId="1" fontId="0" fillId="0" borderId="13" xfId="4" applyNumberFormat="1" applyFont="1" applyBorder="1" applyAlignment="1">
      <alignment horizontal="center"/>
    </xf>
    <xf numFmtId="0" fontId="0" fillId="0" borderId="14" xfId="4" applyFont="1" applyBorder="1" applyAlignment="1">
      <alignment horizontal="center"/>
    </xf>
    <xf numFmtId="0" fontId="0" fillId="0" borderId="15" xfId="4" applyFont="1" applyBorder="1" applyAlignment="1">
      <alignment horizontal="center"/>
    </xf>
    <xf numFmtId="164" fontId="0" fillId="0" borderId="6" xfId="4" applyNumberFormat="1" applyFont="1" applyBorder="1" applyAlignment="1">
      <alignment horizontal="right"/>
    </xf>
    <xf numFmtId="164" fontId="0" fillId="0" borderId="9" xfId="4" applyNumberFormat="1" applyFont="1" applyBorder="1" applyAlignment="1" applyProtection="1">
      <alignment horizontal="center"/>
      <protection locked="0"/>
    </xf>
    <xf numFmtId="0" fontId="7" fillId="0" borderId="0" xfId="4" applyFont="1" applyAlignment="1">
      <alignment vertical="center"/>
    </xf>
    <xf numFmtId="0" fontId="7" fillId="0" borderId="0" xfId="4" applyFont="1" applyAlignment="1">
      <alignment horizontal="left"/>
    </xf>
    <xf numFmtId="0" fontId="2" fillId="0" borderId="0" xfId="4" applyFont="1"/>
    <xf numFmtId="0" fontId="0" fillId="0" borderId="15" xfId="4" applyFont="1" applyBorder="1"/>
    <xf numFmtId="0" fontId="2" fillId="0" borderId="3" xfId="4" applyFont="1" applyBorder="1" applyAlignment="1">
      <alignment horizontal="center"/>
    </xf>
    <xf numFmtId="0" fontId="0" fillId="0" borderId="0" xfId="4" applyFont="1" applyAlignment="1">
      <alignment horizontal="left" indent="1"/>
    </xf>
    <xf numFmtId="0" fontId="2" fillId="0" borderId="5" xfId="4" applyFont="1" applyBorder="1" applyAlignment="1">
      <alignment horizontal="center"/>
    </xf>
    <xf numFmtId="0" fontId="2" fillId="0" borderId="0" xfId="4" applyFont="1" applyAlignment="1">
      <alignment horizontal="center"/>
    </xf>
    <xf numFmtId="0" fontId="3" fillId="0" borderId="0" xfId="4" applyFont="1"/>
    <xf numFmtId="3" fontId="0" fillId="0" borderId="6" xfId="4" applyNumberFormat="1" applyFont="1" applyBorder="1" applyAlignment="1">
      <alignment horizontal="center"/>
    </xf>
    <xf numFmtId="1" fontId="0" fillId="0" borderId="5" xfId="4" applyNumberFormat="1" applyFont="1" applyBorder="1" applyAlignment="1">
      <alignment horizontal="center"/>
    </xf>
    <xf numFmtId="1" fontId="0" fillId="0" borderId="0" xfId="4" applyNumberFormat="1" applyFont="1" applyAlignment="1">
      <alignment horizontal="center"/>
    </xf>
    <xf numFmtId="0" fontId="2" fillId="0" borderId="13" xfId="4" applyFont="1" applyBorder="1" applyAlignment="1">
      <alignment horizontal="center"/>
    </xf>
    <xf numFmtId="0" fontId="2" fillId="0" borderId="14" xfId="4" applyFont="1" applyBorder="1"/>
    <xf numFmtId="0" fontId="12" fillId="0" borderId="0" xfId="4" applyFont="1"/>
    <xf numFmtId="0" fontId="0" fillId="0" borderId="16" xfId="4" applyFont="1" applyBorder="1" applyAlignment="1">
      <alignment horizontal="center"/>
    </xf>
    <xf numFmtId="9" fontId="0" fillId="0" borderId="9" xfId="4" applyNumberFormat="1" applyFont="1" applyBorder="1" applyAlignment="1">
      <alignment horizontal="center"/>
    </xf>
    <xf numFmtId="0" fontId="0" fillId="0" borderId="6" xfId="4" applyFont="1" applyBorder="1" applyProtection="1">
      <protection locked="0"/>
    </xf>
    <xf numFmtId="9" fontId="0" fillId="0" borderId="6" xfId="4" applyNumberFormat="1" applyFont="1" applyBorder="1" applyAlignment="1">
      <alignment horizontal="center"/>
    </xf>
    <xf numFmtId="166" fontId="0" fillId="0" borderId="6" xfId="4" applyNumberFormat="1" applyFont="1" applyBorder="1" applyAlignment="1">
      <alignment horizontal="center"/>
    </xf>
    <xf numFmtId="3" fontId="0" fillId="0" borderId="0" xfId="4" applyNumberFormat="1" applyFont="1" applyAlignment="1">
      <alignment horizontal="center"/>
    </xf>
    <xf numFmtId="164" fontId="3" fillId="0" borderId="0" xfId="4" applyNumberFormat="1" applyFont="1" applyAlignment="1">
      <alignment horizontal="right"/>
    </xf>
    <xf numFmtId="4" fontId="0" fillId="0" borderId="0" xfId="4" applyNumberFormat="1" applyFont="1"/>
    <xf numFmtId="0" fontId="0" fillId="0" borderId="9" xfId="4" applyFont="1" applyBorder="1" applyAlignment="1">
      <alignment horizontal="center"/>
    </xf>
    <xf numFmtId="3" fontId="0" fillId="0" borderId="0" xfId="4" applyNumberFormat="1" applyFont="1" applyAlignment="1">
      <alignment horizontal="right"/>
    </xf>
    <xf numFmtId="9" fontId="0" fillId="0" borderId="0" xfId="4" applyNumberFormat="1" applyFont="1" applyAlignment="1">
      <alignment horizontal="center"/>
    </xf>
    <xf numFmtId="4" fontId="13" fillId="0" borderId="0" xfId="4" applyNumberFormat="1" applyFont="1" applyAlignment="1">
      <alignment horizontal="right"/>
    </xf>
    <xf numFmtId="0" fontId="5" fillId="0" borderId="0" xfId="4" applyFont="1" applyAlignment="1">
      <alignment horizontal="right"/>
    </xf>
    <xf numFmtId="0" fontId="4" fillId="0" borderId="0" xfId="4" applyFont="1" applyAlignment="1">
      <alignment horizontal="right" indent="3"/>
    </xf>
    <xf numFmtId="3" fontId="13" fillId="0" borderId="0" xfId="4" applyNumberFormat="1" applyFont="1" applyAlignment="1">
      <alignment horizontal="right"/>
    </xf>
    <xf numFmtId="4" fontId="5" fillId="0" borderId="0" xfId="4" applyNumberFormat="1" applyFont="1" applyAlignment="1">
      <alignment horizontal="right"/>
    </xf>
    <xf numFmtId="0" fontId="11" fillId="0" borderId="0" xfId="4" applyFont="1" applyAlignment="1">
      <alignment horizontal="left"/>
    </xf>
    <xf numFmtId="0" fontId="13" fillId="0" borderId="0" xfId="4" applyFont="1"/>
    <xf numFmtId="0" fontId="11" fillId="0" borderId="0" xfId="4" applyFont="1" applyAlignment="1">
      <alignment horizontal="right"/>
    </xf>
    <xf numFmtId="0" fontId="4" fillId="0" borderId="0" xfId="4" applyFont="1"/>
    <xf numFmtId="0" fontId="13" fillId="0" borderId="0" xfId="4" applyFont="1" applyAlignment="1">
      <alignment horizontal="righ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center" vertical="top"/>
    </xf>
    <xf numFmtId="164" fontId="4" fillId="0" borderId="0" xfId="4" applyNumberFormat="1" applyFont="1" applyAlignment="1">
      <alignment horizontal="left"/>
    </xf>
    <xf numFmtId="0" fontId="4" fillId="0" borderId="0" xfId="4" applyFont="1" applyAlignment="1">
      <alignment horizontal="right"/>
    </xf>
    <xf numFmtId="0" fontId="0" fillId="0" borderId="17" xfId="4" applyFont="1" applyBorder="1" applyAlignment="1">
      <alignment horizontal="center"/>
    </xf>
    <xf numFmtId="6" fontId="0" fillId="0" borderId="10" xfId="4" applyNumberFormat="1" applyFont="1" applyBorder="1" applyAlignment="1" applyProtection="1">
      <alignment horizontal="center"/>
      <protection locked="0"/>
    </xf>
    <xf numFmtId="6" fontId="0" fillId="0" borderId="0" xfId="4" applyNumberFormat="1" applyFont="1"/>
    <xf numFmtId="164" fontId="0" fillId="0" borderId="18" xfId="4" applyNumberFormat="1" applyFont="1" applyBorder="1" applyAlignment="1">
      <alignment horizontal="center"/>
    </xf>
    <xf numFmtId="4" fontId="5" fillId="0" borderId="2" xfId="4" applyNumberFormat="1" applyFont="1" applyBorder="1" applyAlignment="1">
      <alignment horizontal="right"/>
    </xf>
    <xf numFmtId="164" fontId="18" fillId="0" borderId="0" xfId="1" applyNumberFormat="1" applyFill="1" applyBorder="1" applyAlignment="1" applyProtection="1">
      <alignment horizontal="center"/>
    </xf>
    <xf numFmtId="0" fontId="0" fillId="0" borderId="19" xfId="4" applyFont="1" applyBorder="1"/>
    <xf numFmtId="0" fontId="0" fillId="0" borderId="20" xfId="4" applyFont="1" applyBorder="1"/>
    <xf numFmtId="0" fontId="18" fillId="0" borderId="20" xfId="4" applyBorder="1"/>
    <xf numFmtId="0" fontId="18" fillId="0" borderId="20" xfId="4" applyBorder="1" applyAlignment="1">
      <alignment horizontal="center"/>
    </xf>
    <xf numFmtId="4" fontId="0" fillId="0" borderId="19" xfId="4" applyNumberFormat="1" applyFont="1" applyBorder="1"/>
    <xf numFmtId="4" fontId="0" fillId="0" borderId="21" xfId="4" applyNumberFormat="1" applyFont="1" applyBorder="1"/>
    <xf numFmtId="0" fontId="0" fillId="0" borderId="17" xfId="4" applyFont="1" applyBorder="1" applyAlignment="1">
      <alignment horizontal="left"/>
    </xf>
    <xf numFmtId="0" fontId="0" fillId="0" borderId="17" xfId="4" applyFont="1" applyBorder="1"/>
    <xf numFmtId="164" fontId="0" fillId="0" borderId="17" xfId="4" applyNumberFormat="1" applyFont="1" applyBorder="1" applyAlignment="1">
      <alignment horizontal="right"/>
    </xf>
    <xf numFmtId="164" fontId="3" fillId="0" borderId="17" xfId="4" applyNumberFormat="1" applyFont="1" applyBorder="1" applyAlignment="1">
      <alignment horizontal="right"/>
    </xf>
    <xf numFmtId="164" fontId="0" fillId="0" borderId="22" xfId="4" applyNumberFormat="1" applyFont="1" applyBorder="1" applyAlignment="1">
      <alignment horizontal="center"/>
    </xf>
    <xf numFmtId="0" fontId="0" fillId="0" borderId="23" xfId="4" applyFont="1" applyBorder="1"/>
    <xf numFmtId="9" fontId="1" fillId="0" borderId="9" xfId="6" applyBorder="1" applyAlignment="1" applyProtection="1">
      <alignment horizontal="center"/>
    </xf>
    <xf numFmtId="9" fontId="1" fillId="0" borderId="9" xfId="6" applyFill="1" applyBorder="1" applyAlignment="1" applyProtection="1">
      <alignment horizontal="center"/>
    </xf>
    <xf numFmtId="6" fontId="0" fillId="0" borderId="6" xfId="7" applyNumberFormat="1" applyFont="1" applyFill="1" applyBorder="1" applyAlignment="1" applyProtection="1">
      <alignment horizontal="center"/>
    </xf>
    <xf numFmtId="0" fontId="0" fillId="0" borderId="24" xfId="4" applyFont="1" applyBorder="1" applyAlignment="1">
      <alignment horizontal="center"/>
    </xf>
    <xf numFmtId="0" fontId="0" fillId="0" borderId="25" xfId="4" applyFont="1" applyBorder="1" applyAlignment="1" applyProtection="1">
      <alignment horizontal="center"/>
      <protection locked="0"/>
    </xf>
    <xf numFmtId="0" fontId="0" fillId="0" borderId="26" xfId="4" applyFont="1" applyBorder="1" applyAlignment="1" applyProtection="1">
      <alignment horizontal="center"/>
      <protection locked="0"/>
    </xf>
    <xf numFmtId="0" fontId="0" fillId="0" borderId="26" xfId="4" applyFont="1" applyBorder="1" applyAlignment="1">
      <alignment horizontal="center"/>
    </xf>
    <xf numFmtId="164" fontId="0" fillId="0" borderId="20" xfId="4" applyNumberFormat="1" applyFont="1" applyBorder="1" applyAlignment="1">
      <alignment horizontal="right"/>
    </xf>
    <xf numFmtId="166" fontId="0" fillId="0" borderId="17" xfId="4" applyNumberFormat="1" applyFont="1" applyBorder="1" applyAlignment="1">
      <alignment horizontal="center"/>
    </xf>
    <xf numFmtId="3" fontId="0" fillId="0" borderId="17" xfId="4" applyNumberFormat="1" applyFont="1" applyBorder="1" applyAlignment="1">
      <alignment horizontal="center"/>
    </xf>
    <xf numFmtId="170" fontId="0" fillId="0" borderId="6" xfId="4" applyNumberFormat="1" applyFont="1" applyBorder="1" applyAlignment="1">
      <alignment horizontal="center"/>
    </xf>
    <xf numFmtId="0" fontId="0" fillId="0" borderId="21" xfId="4" applyFont="1" applyBorder="1" applyAlignment="1" applyProtection="1">
      <alignment horizontal="center"/>
      <protection locked="0"/>
    </xf>
    <xf numFmtId="0" fontId="0" fillId="0" borderId="17" xfId="4" applyFont="1" applyBorder="1" applyAlignment="1">
      <alignment horizontal="right"/>
    </xf>
    <xf numFmtId="0" fontId="3" fillId="0" borderId="17" xfId="4" applyFont="1" applyBorder="1"/>
    <xf numFmtId="0" fontId="0" fillId="0" borderId="0" xfId="4" applyFont="1" applyProtection="1">
      <protection locked="0"/>
    </xf>
    <xf numFmtId="6" fontId="0" fillId="0" borderId="0" xfId="4" applyNumberFormat="1" applyFont="1" applyProtection="1">
      <protection locked="0"/>
    </xf>
    <xf numFmtId="166" fontId="0" fillId="0" borderId="27" xfId="4" applyNumberFormat="1" applyFont="1" applyBorder="1" applyAlignment="1">
      <alignment horizontal="center"/>
    </xf>
    <xf numFmtId="0" fontId="18" fillId="0" borderId="20" xfId="4" applyBorder="1" applyAlignment="1">
      <alignment horizontal="left"/>
    </xf>
    <xf numFmtId="0" fontId="0" fillId="0" borderId="25" xfId="4" applyFont="1" applyBorder="1" applyAlignment="1">
      <alignment horizontal="center"/>
    </xf>
    <xf numFmtId="0" fontId="7" fillId="0" borderId="19" xfId="4" applyFont="1" applyBorder="1" applyAlignment="1">
      <alignment horizontal="left" vertical="top"/>
    </xf>
    <xf numFmtId="0" fontId="0" fillId="0" borderId="28" xfId="4" applyFont="1" applyBorder="1" applyAlignment="1">
      <alignment horizontal="center"/>
    </xf>
    <xf numFmtId="0" fontId="0" fillId="0" borderId="29" xfId="4" applyFont="1" applyBorder="1" applyAlignment="1" applyProtection="1">
      <alignment horizontal="center"/>
      <protection locked="0"/>
    </xf>
    <xf numFmtId="0" fontId="0" fillId="0" borderId="25" xfId="4" applyFont="1" applyBorder="1" applyAlignment="1" applyProtection="1">
      <alignment horizontal="right"/>
      <protection locked="0"/>
    </xf>
    <xf numFmtId="0" fontId="0" fillId="0" borderId="19" xfId="4" applyFont="1" applyBorder="1" applyAlignment="1">
      <alignment horizontal="right"/>
    </xf>
    <xf numFmtId="0" fontId="0" fillId="0" borderId="21" xfId="4" applyFont="1" applyBorder="1" applyAlignment="1">
      <alignment horizontal="right"/>
    </xf>
    <xf numFmtId="0" fontId="0" fillId="0" borderId="17" xfId="4" applyFont="1" applyBorder="1" applyAlignment="1">
      <alignment horizontal="left" indent="1"/>
    </xf>
    <xf numFmtId="164" fontId="0" fillId="0" borderId="17" xfId="4" applyNumberFormat="1" applyFont="1" applyBorder="1" applyAlignment="1">
      <alignment horizontal="center"/>
    </xf>
    <xf numFmtId="0" fontId="0" fillId="0" borderId="9" xfId="4" applyFont="1" applyBorder="1" applyAlignment="1" applyProtection="1">
      <alignment horizontal="left"/>
      <protection locked="0"/>
    </xf>
    <xf numFmtId="0" fontId="6" fillId="0" borderId="33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4" fontId="5" fillId="0" borderId="0" xfId="4" applyNumberFormat="1" applyFont="1" applyAlignment="1">
      <alignment horizontal="right"/>
    </xf>
    <xf numFmtId="4" fontId="5" fillId="0" borderId="14" xfId="4" applyNumberFormat="1" applyFont="1" applyBorder="1" applyAlignment="1">
      <alignment horizontal="right"/>
    </xf>
    <xf numFmtId="0" fontId="0" fillId="0" borderId="6" xfId="4" applyFont="1" applyBorder="1" applyAlignment="1" applyProtection="1">
      <alignment horizontal="left"/>
      <protection locked="0"/>
    </xf>
    <xf numFmtId="1" fontId="0" fillId="0" borderId="2" xfId="4" applyNumberFormat="1" applyFont="1" applyBorder="1" applyAlignment="1">
      <alignment horizontal="left"/>
    </xf>
    <xf numFmtId="0" fontId="6" fillId="0" borderId="5" xfId="4" applyFont="1" applyBorder="1" applyAlignment="1">
      <alignment horizontal="center" vertical="center"/>
    </xf>
    <xf numFmtId="0" fontId="6" fillId="0" borderId="30" xfId="4" applyFont="1" applyBorder="1" applyAlignment="1">
      <alignment horizontal="center" vertical="center"/>
    </xf>
    <xf numFmtId="0" fontId="0" fillId="0" borderId="2" xfId="4" applyFont="1" applyBorder="1" applyAlignment="1">
      <alignment horizontal="left"/>
    </xf>
    <xf numFmtId="0" fontId="5" fillId="0" borderId="2" xfId="4" applyFont="1" applyBorder="1" applyAlignment="1">
      <alignment horizontal="center"/>
    </xf>
    <xf numFmtId="0" fontId="0" fillId="0" borderId="0" xfId="4" applyFont="1" applyAlignment="1">
      <alignment horizontal="left"/>
    </xf>
    <xf numFmtId="1" fontId="9" fillId="0" borderId="2" xfId="4" applyNumberFormat="1" applyFont="1" applyBorder="1" applyAlignment="1">
      <alignment horizontal="center" vertical="center"/>
    </xf>
    <xf numFmtId="0" fontId="17" fillId="0" borderId="2" xfId="4" applyFont="1" applyBorder="1" applyAlignment="1">
      <alignment horizontal="left"/>
    </xf>
    <xf numFmtId="0" fontId="6" fillId="0" borderId="12" xfId="4" applyFont="1" applyBorder="1" applyAlignment="1">
      <alignment horizontal="center"/>
    </xf>
    <xf numFmtId="0" fontId="6" fillId="0" borderId="34" xfId="4" applyFont="1" applyBorder="1" applyAlignment="1">
      <alignment horizontal="center"/>
    </xf>
    <xf numFmtId="166" fontId="9" fillId="0" borderId="2" xfId="4" applyNumberFormat="1" applyFont="1" applyBorder="1" applyAlignment="1">
      <alignment horizontal="left" vertical="center" indent="1"/>
    </xf>
    <xf numFmtId="0" fontId="6" fillId="0" borderId="35" xfId="4" applyFont="1" applyBorder="1" applyAlignment="1">
      <alignment horizontal="center"/>
    </xf>
    <xf numFmtId="0" fontId="6" fillId="0" borderId="36" xfId="4" applyFont="1" applyBorder="1" applyAlignment="1">
      <alignment horizontal="center"/>
    </xf>
    <xf numFmtId="0" fontId="6" fillId="0" borderId="32" xfId="4" applyFont="1" applyBorder="1" applyAlignment="1">
      <alignment horizontal="center"/>
    </xf>
    <xf numFmtId="0" fontId="15" fillId="0" borderId="14" xfId="4" applyFont="1" applyBorder="1" applyAlignment="1">
      <alignment horizontal="center" wrapText="1"/>
    </xf>
    <xf numFmtId="165" fontId="4" fillId="0" borderId="2" xfId="4" applyNumberFormat="1" applyFont="1" applyBorder="1" applyAlignment="1">
      <alignment horizontal="left"/>
    </xf>
    <xf numFmtId="14" fontId="4" fillId="0" borderId="2" xfId="4" applyNumberFormat="1" applyFont="1" applyBorder="1" applyAlignment="1">
      <alignment horizontal="left" indent="1"/>
    </xf>
    <xf numFmtId="0" fontId="17" fillId="0" borderId="2" xfId="4" applyFont="1" applyBorder="1" applyAlignment="1">
      <alignment horizontal="center"/>
    </xf>
    <xf numFmtId="165" fontId="4" fillId="0" borderId="2" xfId="4" applyNumberFormat="1" applyFont="1" applyBorder="1" applyAlignment="1">
      <alignment horizontal="center"/>
    </xf>
  </cellXfs>
  <cellStyles count="8">
    <cellStyle name="Currency" xfId="1" builtinId="4"/>
    <cellStyle name="Excel_BuiltIn_Bad 1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Percent" xfId="6" builtinId="5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71"/>
  <sheetViews>
    <sheetView tabSelected="1" zoomScaleNormal="100" zoomScalePageLayoutView="50" workbookViewId="0">
      <selection activeCell="AP16" sqref="AP16"/>
    </sheetView>
  </sheetViews>
  <sheetFormatPr defaultColWidth="9.1328125" defaultRowHeight="12.75"/>
  <cols>
    <col min="1" max="1" width="3.73046875" style="2" customWidth="1"/>
    <col min="2" max="2" width="1.1328125" style="2" customWidth="1"/>
    <col min="3" max="3" width="8.73046875" style="3" customWidth="1"/>
    <col min="4" max="4" width="19.265625" style="3" customWidth="1"/>
    <col min="5" max="5" width="7.1328125" style="4" customWidth="1"/>
    <col min="6" max="6" width="1.1328125" style="4" customWidth="1"/>
    <col min="7" max="7" width="5.1328125" style="4" customWidth="1"/>
    <col min="8" max="8" width="1.1328125" style="4" customWidth="1"/>
    <col min="9" max="9" width="8.86328125" style="1" customWidth="1"/>
    <col min="10" max="11" width="0.86328125" style="3" customWidth="1"/>
    <col min="12" max="12" width="3.73046875" style="5" customWidth="1"/>
    <col min="13" max="13" width="11" style="3" customWidth="1"/>
    <col min="14" max="14" width="1.1328125" style="3" customWidth="1"/>
    <col min="15" max="15" width="6.265625" style="3" customWidth="1"/>
    <col min="16" max="16" width="3.265625" style="3" customWidth="1"/>
    <col min="17" max="17" width="5.86328125" style="3" customWidth="1"/>
    <col min="18" max="18" width="7.3984375" style="6" customWidth="1"/>
    <col min="19" max="19" width="1.1328125" style="6" customWidth="1"/>
    <col min="20" max="20" width="4.73046875" style="6" customWidth="1"/>
    <col min="21" max="21" width="1.1328125" style="6" customWidth="1"/>
    <col min="22" max="22" width="8.73046875" style="5" customWidth="1"/>
    <col min="23" max="23" width="0.86328125" style="3" customWidth="1"/>
    <col min="24" max="24" width="0.3984375" style="3" customWidth="1"/>
    <col min="25" max="25" width="5" style="3" hidden="1" customWidth="1"/>
    <col min="26" max="26" width="4.86328125" style="3" hidden="1" customWidth="1"/>
    <col min="27" max="27" width="5.86328125" style="3" hidden="1" customWidth="1"/>
    <col min="28" max="28" width="5.265625" style="3" hidden="1" customWidth="1"/>
    <col min="29" max="29" width="4.1328125" style="3" hidden="1" customWidth="1"/>
    <col min="30" max="30" width="6.59765625" style="3" hidden="1" customWidth="1"/>
    <col min="31" max="31" width="6.3984375" style="3" hidden="1" customWidth="1"/>
    <col min="32" max="32" width="4" style="3" hidden="1" customWidth="1"/>
    <col min="33" max="33" width="5.265625" style="3" hidden="1" customWidth="1"/>
    <col min="34" max="34" width="3.73046875" style="3" hidden="1" customWidth="1"/>
    <col min="35" max="35" width="5.3984375" style="3" hidden="1" customWidth="1"/>
    <col min="36" max="16384" width="9.1328125" style="3"/>
  </cols>
  <sheetData>
    <row r="1" spans="1:38" ht="21" customHeight="1">
      <c r="A1" s="165" t="s">
        <v>28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</row>
    <row r="2" spans="1:38" ht="30.75" customHeight="1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</row>
    <row r="3" spans="1:38" ht="20.25" customHeight="1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7"/>
    </row>
    <row r="4" spans="1:38" ht="18" customHeight="1">
      <c r="A4" s="8"/>
      <c r="B4" s="9"/>
      <c r="C4" s="10" t="s">
        <v>29</v>
      </c>
      <c r="D4" s="11"/>
      <c r="E4" s="12"/>
      <c r="F4" s="12"/>
      <c r="G4" s="10"/>
      <c r="H4" s="12"/>
      <c r="I4" s="10" t="s">
        <v>30</v>
      </c>
      <c r="J4" s="13"/>
      <c r="K4" s="166"/>
      <c r="L4" s="166"/>
      <c r="M4" s="166"/>
      <c r="N4" s="166"/>
      <c r="P4" s="14"/>
      <c r="R4" s="15" t="s">
        <v>31</v>
      </c>
      <c r="S4" s="16"/>
      <c r="T4" s="167"/>
      <c r="U4" s="167"/>
      <c r="V4" s="167"/>
      <c r="W4" s="17"/>
    </row>
    <row r="5" spans="1:38" ht="18" customHeight="1">
      <c r="A5" s="8"/>
      <c r="B5" s="9"/>
      <c r="C5" s="10" t="s">
        <v>1</v>
      </c>
      <c r="D5" s="11"/>
      <c r="E5" s="18"/>
      <c r="F5" s="18"/>
      <c r="G5" s="18"/>
      <c r="H5" s="18"/>
      <c r="I5" s="19"/>
      <c r="J5" s="20"/>
      <c r="K5" s="20"/>
      <c r="M5" s="15" t="s">
        <v>32</v>
      </c>
      <c r="N5" s="168"/>
      <c r="O5" s="168"/>
      <c r="P5" s="21"/>
      <c r="Q5" s="18"/>
      <c r="R5" s="10" t="s">
        <v>33</v>
      </c>
      <c r="S5" s="169"/>
      <c r="T5" s="169"/>
      <c r="U5" s="169"/>
      <c r="V5" s="169"/>
      <c r="W5" s="17"/>
    </row>
    <row r="6" spans="1:38" ht="18" customHeight="1">
      <c r="A6" s="8"/>
      <c r="B6" s="9"/>
      <c r="C6" s="10" t="s">
        <v>34</v>
      </c>
      <c r="D6" s="154"/>
      <c r="E6" s="154"/>
      <c r="F6" s="154"/>
      <c r="G6" s="154"/>
      <c r="H6" s="154"/>
      <c r="I6" s="154"/>
      <c r="J6" s="20"/>
      <c r="K6" s="20"/>
      <c r="L6" s="22"/>
      <c r="M6" s="15" t="s">
        <v>35</v>
      </c>
      <c r="N6" s="23"/>
      <c r="O6" s="155"/>
      <c r="P6" s="155"/>
      <c r="Q6" s="155"/>
      <c r="R6" s="155"/>
      <c r="S6" s="158"/>
      <c r="T6" s="158"/>
      <c r="U6" s="158"/>
      <c r="V6" s="158"/>
      <c r="W6" s="17"/>
    </row>
    <row r="7" spans="1:38" ht="18" customHeight="1">
      <c r="A7" s="8"/>
      <c r="B7" s="9"/>
      <c r="C7" s="10" t="s">
        <v>36</v>
      </c>
      <c r="D7" s="154"/>
      <c r="E7" s="154"/>
      <c r="F7" s="154"/>
      <c r="G7" s="154"/>
      <c r="H7" s="154"/>
      <c r="I7" s="154"/>
      <c r="J7" s="13"/>
      <c r="K7" s="13"/>
      <c r="L7" s="24"/>
      <c r="M7" s="10"/>
      <c r="N7" s="25"/>
      <c r="O7" s="26"/>
      <c r="P7" s="21"/>
      <c r="Q7" s="18"/>
      <c r="R7" s="10" t="s">
        <v>37</v>
      </c>
      <c r="S7" s="27"/>
      <c r="T7" s="157"/>
      <c r="U7" s="157"/>
      <c r="V7" s="157"/>
      <c r="W7" s="17"/>
    </row>
    <row r="8" spans="1:38" ht="18" customHeight="1">
      <c r="A8" s="8"/>
      <c r="B8" s="9"/>
      <c r="C8" s="10" t="s">
        <v>0</v>
      </c>
      <c r="D8" s="25" t="s">
        <v>82</v>
      </c>
      <c r="E8" s="9"/>
      <c r="F8" s="151"/>
      <c r="G8" s="151"/>
      <c r="H8" s="151"/>
      <c r="I8" s="151"/>
      <c r="J8" s="9"/>
      <c r="K8" s="13"/>
      <c r="L8" s="28"/>
      <c r="M8" s="10"/>
      <c r="N8" s="13"/>
      <c r="O8" s="18"/>
      <c r="P8" s="21"/>
      <c r="Q8" s="18"/>
      <c r="R8" s="10" t="s">
        <v>38</v>
      </c>
      <c r="S8" s="29"/>
      <c r="T8" s="161"/>
      <c r="U8" s="161"/>
      <c r="V8" s="161"/>
      <c r="W8" s="17"/>
    </row>
    <row r="9" spans="1:38" ht="0.75" customHeight="1">
      <c r="A9" s="30"/>
      <c r="B9" s="31"/>
      <c r="C9" s="7"/>
      <c r="D9" s="32"/>
      <c r="I9" s="32"/>
      <c r="J9" s="7"/>
      <c r="K9" s="7"/>
      <c r="L9" s="33"/>
      <c r="M9" s="7"/>
      <c r="N9" s="7"/>
      <c r="O9" s="7"/>
      <c r="P9" s="7"/>
      <c r="Q9" s="7"/>
      <c r="V9" s="33"/>
      <c r="W9" s="34"/>
    </row>
    <row r="10" spans="1:38" s="7" customFormat="1" ht="17.100000000000001" customHeight="1">
      <c r="A10" s="162" t="s">
        <v>2</v>
      </c>
      <c r="B10" s="163"/>
      <c r="C10" s="163"/>
      <c r="D10" s="163"/>
      <c r="E10" s="163"/>
      <c r="F10" s="163"/>
      <c r="G10" s="163"/>
      <c r="H10" s="163"/>
      <c r="I10" s="163"/>
      <c r="J10" s="164"/>
      <c r="K10" s="159" t="s">
        <v>3</v>
      </c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2"/>
      <c r="AI10" s="35"/>
      <c r="AJ10" s="35"/>
      <c r="AK10" s="35"/>
      <c r="AL10" s="35"/>
    </row>
    <row r="11" spans="1:38" s="7" customFormat="1" ht="20.100000000000001" customHeight="1">
      <c r="A11" s="105"/>
      <c r="C11" s="36"/>
      <c r="D11" s="37"/>
      <c r="E11" s="5"/>
      <c r="F11" s="5"/>
      <c r="G11" s="5"/>
      <c r="H11" s="5"/>
      <c r="I11" s="5"/>
      <c r="J11" s="134"/>
      <c r="K11" s="5"/>
      <c r="L11" s="38"/>
      <c r="M11" s="7" t="s">
        <v>4</v>
      </c>
      <c r="R11" s="39">
        <v>22</v>
      </c>
      <c r="S11" s="39"/>
      <c r="T11" s="40">
        <v>3</v>
      </c>
      <c r="U11" s="41"/>
      <c r="V11" s="42" t="str">
        <f>IF(L11="","",L11*T11)</f>
        <v/>
      </c>
      <c r="W11" s="43"/>
      <c r="AA11" s="101"/>
      <c r="AI11" s="35"/>
      <c r="AJ11" s="35"/>
      <c r="AK11" s="35"/>
      <c r="AL11" s="35"/>
    </row>
    <row r="12" spans="1:38" s="7" customFormat="1" ht="15.95" customHeight="1">
      <c r="A12" s="105"/>
      <c r="C12" s="44" t="s">
        <v>39</v>
      </c>
      <c r="J12" s="106"/>
      <c r="K12" s="5"/>
      <c r="L12" s="38"/>
      <c r="M12" s="7" t="s">
        <v>76</v>
      </c>
      <c r="R12" s="41">
        <v>52</v>
      </c>
      <c r="S12" s="39"/>
      <c r="T12" s="40">
        <v>5</v>
      </c>
      <c r="U12" s="41"/>
      <c r="V12" s="42" t="str">
        <f>IF(L12="","",L12*T12)</f>
        <v/>
      </c>
      <c r="W12" s="43"/>
      <c r="AA12" s="101"/>
      <c r="AI12" s="35"/>
      <c r="AJ12" s="35"/>
      <c r="AK12" s="35"/>
      <c r="AL12" s="35"/>
    </row>
    <row r="13" spans="1:38" s="7" customFormat="1" ht="15.95" customHeight="1">
      <c r="A13" s="135"/>
      <c r="B13" s="31"/>
      <c r="C13" s="33" t="s">
        <v>88</v>
      </c>
      <c r="E13" s="41">
        <v>365</v>
      </c>
      <c r="F13" s="41"/>
      <c r="G13" s="40">
        <v>20</v>
      </c>
      <c r="H13" s="41"/>
      <c r="I13" s="40"/>
      <c r="J13" s="106"/>
      <c r="L13" s="38"/>
      <c r="M13" s="7" t="s">
        <v>5</v>
      </c>
      <c r="R13" s="39">
        <v>90</v>
      </c>
      <c r="S13" s="39"/>
      <c r="T13" s="40">
        <v>10</v>
      </c>
      <c r="U13" s="41"/>
      <c r="V13" s="42" t="str">
        <f>IF(L13="","",L13*T13)</f>
        <v/>
      </c>
      <c r="W13" s="43"/>
      <c r="AI13" s="35"/>
      <c r="AJ13" s="35"/>
      <c r="AK13" s="35"/>
      <c r="AL13" s="35"/>
    </row>
    <row r="14" spans="1:38" s="7" customFormat="1" ht="15.95" customHeight="1">
      <c r="A14" s="135"/>
      <c r="C14" s="33" t="s">
        <v>89</v>
      </c>
      <c r="E14" s="41">
        <v>390</v>
      </c>
      <c r="G14" s="102">
        <v>23</v>
      </c>
      <c r="I14" s="40" t="str">
        <f>IF(A14="","",A14*G14)</f>
        <v/>
      </c>
      <c r="J14" s="106"/>
      <c r="L14" s="38"/>
      <c r="M14" s="7" t="s">
        <v>77</v>
      </c>
      <c r="R14" s="41" t="s">
        <v>93</v>
      </c>
      <c r="S14" s="39"/>
      <c r="T14" s="119">
        <v>5</v>
      </c>
      <c r="U14" s="41"/>
      <c r="V14" s="42" t="str">
        <f>IF(L14="","",L14*T14)</f>
        <v/>
      </c>
      <c r="W14" s="43"/>
      <c r="AI14" s="35"/>
      <c r="AJ14" s="35"/>
      <c r="AK14" s="35"/>
      <c r="AL14" s="35"/>
    </row>
    <row r="15" spans="1:38" s="7" customFormat="1" ht="15.95" customHeight="1" thickBot="1">
      <c r="A15" s="135"/>
      <c r="C15" s="33"/>
      <c r="E15" s="41"/>
      <c r="G15" s="102"/>
      <c r="I15" s="40"/>
      <c r="J15" s="106"/>
      <c r="L15" s="38"/>
      <c r="M15" s="7" t="s">
        <v>10</v>
      </c>
      <c r="Q15" s="49"/>
      <c r="R15" s="41" t="s">
        <v>11</v>
      </c>
      <c r="S15" s="39"/>
      <c r="T15" s="50">
        <v>0.1</v>
      </c>
      <c r="U15" s="41"/>
      <c r="V15" s="127" t="str">
        <f>IF(L15="","",L15*7*T15)</f>
        <v/>
      </c>
      <c r="W15" s="43"/>
      <c r="AI15" s="35"/>
      <c r="AJ15" s="35"/>
      <c r="AK15" s="35"/>
      <c r="AL15" s="35"/>
    </row>
    <row r="16" spans="1:38" s="7" customFormat="1" ht="15.95" customHeight="1">
      <c r="A16" s="136"/>
      <c r="B16" s="44"/>
      <c r="C16" s="44" t="s">
        <v>6</v>
      </c>
      <c r="G16" s="48"/>
      <c r="I16" s="40" t="str">
        <f t="shared" ref="I16:I23" si="0">IF(A16="","",A16*G16)</f>
        <v/>
      </c>
      <c r="J16" s="106"/>
      <c r="L16" s="38"/>
      <c r="M16" s="7" t="s">
        <v>13</v>
      </c>
      <c r="Q16" s="49"/>
      <c r="R16" s="41">
        <v>30</v>
      </c>
      <c r="S16" s="39"/>
      <c r="T16" s="40">
        <v>0</v>
      </c>
      <c r="U16" s="41"/>
      <c r="V16" s="42" t="str">
        <f t="shared" ref="V16:V24" si="1">IF(L16="","",L16*T16)</f>
        <v/>
      </c>
      <c r="W16" s="43"/>
      <c r="AA16" s="51" t="s">
        <v>40</v>
      </c>
      <c r="AB16" s="23" t="s">
        <v>41</v>
      </c>
      <c r="AC16" s="52" t="s">
        <v>42</v>
      </c>
      <c r="AI16" s="35"/>
      <c r="AJ16" s="35"/>
      <c r="AK16" s="35"/>
      <c r="AL16" s="35"/>
    </row>
    <row r="17" spans="1:38" s="7" customFormat="1" ht="15.95" customHeight="1">
      <c r="A17" s="135"/>
      <c r="B17" s="31"/>
      <c r="C17" s="7" t="s">
        <v>7</v>
      </c>
      <c r="E17" s="41">
        <v>429</v>
      </c>
      <c r="F17" s="41"/>
      <c r="G17" s="40">
        <v>20</v>
      </c>
      <c r="H17" s="41"/>
      <c r="I17" s="40" t="str">
        <f t="shared" si="0"/>
        <v/>
      </c>
      <c r="J17" s="106"/>
      <c r="L17" s="38"/>
      <c r="M17" s="7" t="s">
        <v>45</v>
      </c>
      <c r="R17" s="41">
        <v>36</v>
      </c>
      <c r="S17" s="41"/>
      <c r="T17" s="40">
        <v>2</v>
      </c>
      <c r="U17" s="41"/>
      <c r="V17" s="42" t="str">
        <f t="shared" si="1"/>
        <v/>
      </c>
      <c r="W17" s="43"/>
      <c r="AA17" s="30" t="s">
        <v>43</v>
      </c>
      <c r="AB17" s="31" t="s">
        <v>44</v>
      </c>
      <c r="AC17" s="53"/>
      <c r="AI17" s="35"/>
      <c r="AJ17" s="35"/>
      <c r="AK17" s="35"/>
      <c r="AL17" s="35"/>
    </row>
    <row r="18" spans="1:38" s="7" customFormat="1" ht="15.95" customHeight="1">
      <c r="A18" s="135"/>
      <c r="B18" s="31"/>
      <c r="C18" s="7" t="s">
        <v>8</v>
      </c>
      <c r="E18" s="41">
        <v>429</v>
      </c>
      <c r="F18" s="41"/>
      <c r="G18" s="46">
        <v>20</v>
      </c>
      <c r="H18" s="41"/>
      <c r="I18" s="40" t="str">
        <f t="shared" si="0"/>
        <v/>
      </c>
      <c r="J18" s="106"/>
      <c r="L18" s="38"/>
      <c r="M18" s="7" t="s">
        <v>15</v>
      </c>
      <c r="R18" s="41">
        <v>45</v>
      </c>
      <c r="S18" s="41"/>
      <c r="T18" s="46">
        <v>5</v>
      </c>
      <c r="U18" s="41"/>
      <c r="V18" s="42" t="str">
        <f t="shared" si="1"/>
        <v/>
      </c>
      <c r="W18" s="43"/>
      <c r="AA18" s="30" t="b">
        <f>AND(L16&gt;0,L23="")</f>
        <v>0</v>
      </c>
      <c r="AB18" s="31" t="e">
        <f>#REF!</f>
        <v>#REF!</v>
      </c>
      <c r="AC18" s="53"/>
      <c r="AI18" s="35"/>
      <c r="AJ18" s="35"/>
      <c r="AK18" s="35"/>
      <c r="AL18" s="35"/>
    </row>
    <row r="19" spans="1:38" s="7" customFormat="1" ht="15.95" customHeight="1" thickBot="1">
      <c r="A19" s="135"/>
      <c r="B19" s="31"/>
      <c r="C19" s="7" t="s">
        <v>9</v>
      </c>
      <c r="E19" s="41">
        <v>590</v>
      </c>
      <c r="F19" s="41"/>
      <c r="G19" s="46">
        <v>20</v>
      </c>
      <c r="H19" s="41"/>
      <c r="I19" s="40" t="str">
        <f t="shared" si="0"/>
        <v/>
      </c>
      <c r="J19" s="106"/>
      <c r="L19" s="38"/>
      <c r="M19" s="7" t="s">
        <v>16</v>
      </c>
      <c r="Q19" s="41"/>
      <c r="R19" s="41">
        <v>250</v>
      </c>
      <c r="S19" s="39"/>
      <c r="T19" s="46">
        <v>10</v>
      </c>
      <c r="U19" s="41"/>
      <c r="V19" s="42" t="str">
        <f t="shared" si="1"/>
        <v/>
      </c>
      <c r="W19" s="43"/>
      <c r="AA19" s="54" t="str">
        <f>IF(AA18=FALSE,"",L16*R15)</f>
        <v/>
      </c>
      <c r="AB19" s="55" t="e">
        <f>IF(AB18=TRUE,"VPP","")</f>
        <v>#REF!</v>
      </c>
      <c r="AC19" s="56"/>
      <c r="AI19" s="35"/>
      <c r="AJ19" s="35"/>
      <c r="AK19" s="35"/>
      <c r="AL19" s="35"/>
    </row>
    <row r="20" spans="1:38" s="7" customFormat="1" ht="15.95" customHeight="1">
      <c r="A20" s="137"/>
      <c r="B20" s="31"/>
      <c r="C20" s="7" t="s">
        <v>12</v>
      </c>
      <c r="E20" s="41">
        <v>509</v>
      </c>
      <c r="F20" s="41"/>
      <c r="G20" s="48">
        <v>15</v>
      </c>
      <c r="H20" s="41"/>
      <c r="I20" s="102" t="str">
        <f t="shared" si="0"/>
        <v/>
      </c>
      <c r="J20" s="106"/>
      <c r="L20" s="38"/>
      <c r="M20" s="156" t="s">
        <v>72</v>
      </c>
      <c r="N20" s="156"/>
      <c r="O20" s="156"/>
      <c r="P20" s="156"/>
      <c r="Q20" s="156"/>
      <c r="R20" s="57"/>
      <c r="S20" s="41"/>
      <c r="T20" s="58"/>
      <c r="U20" s="41"/>
      <c r="V20" s="42" t="str">
        <f t="shared" si="1"/>
        <v/>
      </c>
      <c r="W20" s="43"/>
      <c r="AI20" s="35"/>
      <c r="AJ20" s="35"/>
      <c r="AK20" s="35"/>
      <c r="AL20" s="35"/>
    </row>
    <row r="21" spans="1:38" s="7" customFormat="1" ht="15.95" customHeight="1">
      <c r="A21" s="138"/>
      <c r="C21" s="131" t="s">
        <v>91</v>
      </c>
      <c r="D21" s="131"/>
      <c r="E21" s="41">
        <v>998</v>
      </c>
      <c r="G21" s="132">
        <v>25</v>
      </c>
      <c r="I21" s="133" t="str">
        <f>IF(A21="","",A21*G21)</f>
        <v/>
      </c>
      <c r="J21" s="106"/>
      <c r="L21" s="38"/>
      <c r="M21" s="156" t="s">
        <v>72</v>
      </c>
      <c r="N21" s="156"/>
      <c r="O21" s="156"/>
      <c r="P21" s="156"/>
      <c r="Q21" s="156"/>
      <c r="R21" s="57"/>
      <c r="S21" s="41"/>
      <c r="T21" s="58"/>
      <c r="U21" s="41"/>
      <c r="V21" s="42" t="str">
        <f t="shared" si="1"/>
        <v/>
      </c>
      <c r="W21" s="43"/>
      <c r="AI21" s="35"/>
      <c r="AJ21" s="35"/>
      <c r="AK21" s="35"/>
      <c r="AL21" s="35"/>
    </row>
    <row r="22" spans="1:38" s="7" customFormat="1" ht="15.95" customHeight="1">
      <c r="A22" s="135"/>
      <c r="B22" s="31"/>
      <c r="C22" s="7" t="s">
        <v>90</v>
      </c>
      <c r="E22" s="41">
        <v>25</v>
      </c>
      <c r="F22" s="41"/>
      <c r="G22" s="40">
        <v>3</v>
      </c>
      <c r="H22" s="41"/>
      <c r="I22" s="40" t="str">
        <f t="shared" si="0"/>
        <v/>
      </c>
      <c r="J22" s="106"/>
      <c r="L22" s="38"/>
      <c r="M22" s="60" t="s">
        <v>78</v>
      </c>
      <c r="N22" s="60"/>
      <c r="R22" s="41">
        <v>104</v>
      </c>
      <c r="S22" s="41"/>
      <c r="T22" s="46">
        <v>8</v>
      </c>
      <c r="U22" s="41"/>
      <c r="V22" s="42"/>
      <c r="W22" s="43"/>
      <c r="AI22" s="35"/>
      <c r="AJ22" s="35"/>
      <c r="AK22" s="35"/>
      <c r="AL22" s="35"/>
    </row>
    <row r="23" spans="1:38" s="7" customFormat="1" ht="15.95" customHeight="1" thickBot="1">
      <c r="A23" s="135"/>
      <c r="B23" s="31"/>
      <c r="C23" s="33" t="s">
        <v>46</v>
      </c>
      <c r="E23" s="41">
        <v>599</v>
      </c>
      <c r="F23" s="41"/>
      <c r="G23" s="46">
        <v>25</v>
      </c>
      <c r="H23" s="41"/>
      <c r="I23" s="40" t="str">
        <f t="shared" si="0"/>
        <v/>
      </c>
      <c r="J23" s="106"/>
      <c r="L23" s="38"/>
      <c r="M23" s="60" t="s">
        <v>74</v>
      </c>
      <c r="N23" s="60"/>
      <c r="R23" s="41">
        <v>124</v>
      </c>
      <c r="S23" s="41"/>
      <c r="T23" s="46">
        <v>10</v>
      </c>
      <c r="U23" s="41"/>
      <c r="V23" s="42" t="str">
        <f t="shared" si="1"/>
        <v/>
      </c>
      <c r="W23" s="43"/>
      <c r="AB23" s="61"/>
      <c r="AI23" s="35"/>
      <c r="AJ23" s="35"/>
      <c r="AK23" s="35"/>
      <c r="AL23" s="35"/>
    </row>
    <row r="24" spans="1:38" s="7" customFormat="1" ht="15.95" customHeight="1" thickBot="1">
      <c r="A24" s="105"/>
      <c r="C24" s="59" t="s">
        <v>14</v>
      </c>
      <c r="I24" s="40"/>
      <c r="J24" s="106"/>
      <c r="L24" s="31"/>
      <c r="M24" s="60" t="s">
        <v>79</v>
      </c>
      <c r="N24" s="60"/>
      <c r="R24" s="41">
        <v>144</v>
      </c>
      <c r="S24" s="41"/>
      <c r="T24" s="47">
        <v>15</v>
      </c>
      <c r="U24" s="41"/>
      <c r="V24" s="104" t="str">
        <f t="shared" si="1"/>
        <v/>
      </c>
      <c r="W24" s="43"/>
      <c r="AA24" s="51" t="s">
        <v>40</v>
      </c>
      <c r="AB24" s="63" t="s">
        <v>41</v>
      </c>
      <c r="AC24" s="52" t="s">
        <v>48</v>
      </c>
      <c r="AD24" s="51" t="s">
        <v>40</v>
      </c>
      <c r="AE24" s="63" t="s">
        <v>41</v>
      </c>
      <c r="AF24" s="52" t="s">
        <v>49</v>
      </c>
      <c r="AI24" s="35"/>
      <c r="AJ24" s="35"/>
      <c r="AK24" s="35"/>
      <c r="AL24" s="35"/>
    </row>
    <row r="25" spans="1:38" s="7" customFormat="1" ht="15.95" customHeight="1">
      <c r="A25" s="139"/>
      <c r="B25" s="32"/>
      <c r="C25" s="150" t="str">
        <f>IF(A25="","","Special Shape")</f>
        <v/>
      </c>
      <c r="D25" s="150"/>
      <c r="E25" s="41" t="s">
        <v>47</v>
      </c>
      <c r="F25" s="41"/>
      <c r="G25" s="40">
        <v>25</v>
      </c>
      <c r="H25" s="41"/>
      <c r="I25" s="40" t="str">
        <f>IF(A25="","",A25*G25)</f>
        <v/>
      </c>
      <c r="J25" s="106"/>
      <c r="K25" s="153" t="s">
        <v>17</v>
      </c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7"/>
      <c r="AA25" s="65" t="s">
        <v>51</v>
      </c>
      <c r="AB25" s="66" t="s">
        <v>52</v>
      </c>
      <c r="AC25" s="43" t="s">
        <v>53</v>
      </c>
      <c r="AD25" s="65" t="s">
        <v>51</v>
      </c>
      <c r="AE25" s="66" t="s">
        <v>52</v>
      </c>
      <c r="AF25" s="43" t="s">
        <v>53</v>
      </c>
      <c r="AI25" s="35"/>
      <c r="AJ25" s="35"/>
      <c r="AK25" s="35"/>
      <c r="AL25" s="35"/>
    </row>
    <row r="26" spans="1:38" s="7" customFormat="1" ht="15.95" customHeight="1">
      <c r="A26" s="140"/>
      <c r="B26" s="32"/>
      <c r="C26" s="64"/>
      <c r="E26" s="41" t="s">
        <v>50</v>
      </c>
      <c r="F26" s="41"/>
      <c r="G26" s="48"/>
      <c r="H26" s="41"/>
      <c r="I26" s="40"/>
      <c r="J26" s="106"/>
      <c r="L26" s="38"/>
      <c r="M26" s="7" t="s">
        <v>18</v>
      </c>
      <c r="O26" s="67"/>
      <c r="P26" s="67"/>
      <c r="Q26" s="67"/>
      <c r="R26" s="39">
        <v>10</v>
      </c>
      <c r="S26" s="39"/>
      <c r="T26" s="40">
        <v>0</v>
      </c>
      <c r="U26" s="39"/>
      <c r="V26" s="68" t="str">
        <f t="shared" ref="V26:V34" si="2">IF(L26="","",L26*T26)</f>
        <v/>
      </c>
      <c r="W26" s="106"/>
      <c r="AA26" s="69" t="b">
        <f>AND(L19&gt;0,R23="$75")</f>
        <v>0</v>
      </c>
      <c r="AB26" s="70" t="b">
        <f>AND(L19&gt;0,R23="$59")</f>
        <v>0</v>
      </c>
      <c r="AC26" s="53" t="s">
        <v>54</v>
      </c>
      <c r="AD26" s="69" t="e">
        <f>AND(#REF!&gt;0,R23="$75")</f>
        <v>#REF!</v>
      </c>
      <c r="AE26" s="70" t="e">
        <f>AND(#REF!&gt;0,R23="$59")</f>
        <v>#REF!</v>
      </c>
      <c r="AF26" s="53" t="s">
        <v>54</v>
      </c>
      <c r="AI26" s="35"/>
      <c r="AJ26" s="35"/>
      <c r="AK26" s="35"/>
      <c r="AL26" s="35"/>
    </row>
    <row r="27" spans="1:38" s="7" customFormat="1" ht="15.95" customHeight="1" thickBot="1">
      <c r="A27" s="139"/>
      <c r="B27" s="32"/>
      <c r="C27" s="150" t="str">
        <f>IF(A27="","","Special Shape")</f>
        <v/>
      </c>
      <c r="D27" s="150"/>
      <c r="E27" s="41" t="s">
        <v>47</v>
      </c>
      <c r="F27" s="41"/>
      <c r="G27" s="40">
        <v>15</v>
      </c>
      <c r="H27" s="41"/>
      <c r="I27" s="40" t="str">
        <f>IF(A27="","",A27*G27)</f>
        <v/>
      </c>
      <c r="J27" s="106"/>
      <c r="L27" s="38"/>
      <c r="M27" s="7" t="s">
        <v>85</v>
      </c>
      <c r="O27" s="67"/>
      <c r="P27" s="67"/>
      <c r="Q27" s="67"/>
      <c r="R27" s="39">
        <v>60</v>
      </c>
      <c r="S27" s="39"/>
      <c r="T27" s="40">
        <v>5</v>
      </c>
      <c r="U27" s="39"/>
      <c r="V27" s="68"/>
      <c r="W27" s="106"/>
      <c r="AA27" s="71" t="str">
        <f>IF(AA26=FALSE,"","VPP")</f>
        <v/>
      </c>
      <c r="AB27" s="72" t="str">
        <f>IF(AB26=FALSE,"",L19*R18)</f>
        <v/>
      </c>
      <c r="AC27" s="62"/>
      <c r="AD27" s="71" t="e">
        <f>IF(AD26=FALSE,"","VPP")</f>
        <v>#REF!</v>
      </c>
      <c r="AE27" s="72" t="e">
        <f>IF(AE26=FALSE,"",#REF!*#REF!)</f>
        <v>#REF!</v>
      </c>
      <c r="AF27" s="62"/>
      <c r="AI27" s="35"/>
      <c r="AJ27" s="35"/>
      <c r="AK27" s="35"/>
      <c r="AL27" s="35"/>
    </row>
    <row r="28" spans="1:38" s="7" customFormat="1" ht="15.95" customHeight="1" thickBot="1">
      <c r="A28" s="141"/>
      <c r="B28" s="129"/>
      <c r="C28" s="142"/>
      <c r="D28" s="112"/>
      <c r="E28" s="113"/>
      <c r="F28" s="113"/>
      <c r="G28" s="143"/>
      <c r="H28" s="113"/>
      <c r="I28" s="126"/>
      <c r="J28" s="116"/>
      <c r="K28" s="105"/>
      <c r="L28" s="38"/>
      <c r="M28" s="7" t="s">
        <v>19</v>
      </c>
      <c r="O28" s="67"/>
      <c r="P28" s="67"/>
      <c r="Q28" s="67"/>
      <c r="R28" s="39">
        <v>70</v>
      </c>
      <c r="S28" s="39"/>
      <c r="T28" s="46">
        <v>5</v>
      </c>
      <c r="U28" s="39"/>
      <c r="V28" s="68" t="str">
        <f t="shared" si="2"/>
        <v/>
      </c>
      <c r="W28" s="106"/>
      <c r="AA28" s="31"/>
      <c r="AI28" s="35"/>
      <c r="AJ28" s="35"/>
      <c r="AK28" s="35"/>
      <c r="AL28" s="35"/>
    </row>
    <row r="29" spans="1:38" s="7" customFormat="1" ht="13.5" customHeight="1">
      <c r="A29" s="152" t="s">
        <v>55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05"/>
      <c r="L29" s="38"/>
      <c r="M29" s="7" t="s">
        <v>20</v>
      </c>
      <c r="R29" s="39">
        <v>90</v>
      </c>
      <c r="T29" s="48">
        <v>10</v>
      </c>
      <c r="V29" s="68" t="str">
        <f t="shared" si="2"/>
        <v/>
      </c>
      <c r="W29" s="106"/>
      <c r="AA29" s="32"/>
      <c r="AI29" s="35"/>
      <c r="AJ29" s="35"/>
      <c r="AK29" s="35"/>
      <c r="AL29" s="35"/>
    </row>
    <row r="30" spans="1:38" s="7" customFormat="1" ht="13.5" customHeight="1">
      <c r="A30" s="45"/>
      <c r="B30" s="31"/>
      <c r="C30" s="7" t="s">
        <v>56</v>
      </c>
      <c r="D30" s="73"/>
      <c r="E30" s="41">
        <v>1409</v>
      </c>
      <c r="F30" s="41"/>
      <c r="G30" s="40">
        <v>25</v>
      </c>
      <c r="H30" s="41"/>
      <c r="I30" s="40" t="str">
        <f t="shared" ref="I30:I37" si="3">IF(A30="","",A30*G30)</f>
        <v/>
      </c>
      <c r="K30" s="105"/>
      <c r="L30" s="38"/>
      <c r="M30" s="7" t="s">
        <v>24</v>
      </c>
      <c r="O30" s="67"/>
      <c r="P30" s="67"/>
      <c r="Q30" s="67"/>
      <c r="R30" s="39">
        <v>30</v>
      </c>
      <c r="S30" s="39"/>
      <c r="T30" s="40">
        <v>0</v>
      </c>
      <c r="U30" s="41"/>
      <c r="V30" s="68" t="str">
        <f>IF(L30="","",L30*T30)</f>
        <v/>
      </c>
      <c r="W30" s="106"/>
      <c r="AI30" s="35"/>
      <c r="AJ30" s="35"/>
      <c r="AK30" s="35"/>
      <c r="AL30" s="35"/>
    </row>
    <row r="31" spans="1:38" s="7" customFormat="1" ht="13.5" customHeight="1">
      <c r="A31" s="45"/>
      <c r="B31" s="31"/>
      <c r="C31" s="7" t="s">
        <v>57</v>
      </c>
      <c r="D31" s="73"/>
      <c r="E31" s="41">
        <v>1645</v>
      </c>
      <c r="F31" s="41"/>
      <c r="G31" s="46">
        <v>25</v>
      </c>
      <c r="H31" s="41"/>
      <c r="I31" s="40" t="str">
        <f t="shared" si="3"/>
        <v/>
      </c>
      <c r="K31" s="105"/>
      <c r="L31" s="38"/>
      <c r="M31" s="7" t="s">
        <v>59</v>
      </c>
      <c r="O31" s="67"/>
      <c r="P31" s="67"/>
      <c r="Q31" s="67"/>
      <c r="R31" s="39">
        <v>90</v>
      </c>
      <c r="S31" s="39"/>
      <c r="T31" s="46">
        <v>0</v>
      </c>
      <c r="U31" s="39"/>
      <c r="V31" s="68" t="str">
        <f t="shared" si="2"/>
        <v/>
      </c>
      <c r="W31" s="106"/>
    </row>
    <row r="32" spans="1:38" s="7" customFormat="1" ht="15.95" customHeight="1">
      <c r="A32" s="45"/>
      <c r="B32" s="31"/>
      <c r="C32" s="7" t="s">
        <v>58</v>
      </c>
      <c r="D32" s="73"/>
      <c r="E32" s="41">
        <v>1871</v>
      </c>
      <c r="F32" s="41"/>
      <c r="G32" s="46">
        <v>25</v>
      </c>
      <c r="H32" s="41"/>
      <c r="I32" s="40" t="str">
        <f t="shared" si="3"/>
        <v/>
      </c>
      <c r="K32" s="105"/>
      <c r="L32" s="38"/>
      <c r="M32" s="7" t="s">
        <v>21</v>
      </c>
      <c r="R32" s="39">
        <v>80</v>
      </c>
      <c r="T32" s="48">
        <v>10</v>
      </c>
      <c r="U32" s="39"/>
      <c r="V32" s="68" t="str">
        <f t="shared" si="2"/>
        <v/>
      </c>
      <c r="W32" s="106"/>
    </row>
    <row r="33" spans="1:48" s="7" customFormat="1" ht="15.75" customHeight="1">
      <c r="A33" s="45"/>
      <c r="C33" s="7" t="s">
        <v>60</v>
      </c>
      <c r="D33" s="73"/>
      <c r="E33" s="41">
        <v>2345</v>
      </c>
      <c r="F33" s="41"/>
      <c r="G33" s="46">
        <v>25</v>
      </c>
      <c r="H33" s="41"/>
      <c r="I33" s="40" t="str">
        <f t="shared" si="3"/>
        <v/>
      </c>
      <c r="K33" s="105"/>
      <c r="L33" s="38"/>
      <c r="M33" s="7" t="s">
        <v>22</v>
      </c>
      <c r="O33" s="67"/>
      <c r="P33" s="67"/>
      <c r="Q33" s="67"/>
      <c r="R33" s="39">
        <v>125</v>
      </c>
      <c r="S33" s="39"/>
      <c r="T33" s="46">
        <v>10</v>
      </c>
      <c r="V33" s="68" t="str">
        <f t="shared" si="2"/>
        <v/>
      </c>
      <c r="W33" s="106"/>
    </row>
    <row r="34" spans="1:48" s="7" customFormat="1" ht="15.95" customHeight="1">
      <c r="A34" s="74"/>
      <c r="B34" s="31"/>
      <c r="C34" s="7" t="s">
        <v>77</v>
      </c>
      <c r="D34" s="73"/>
      <c r="E34" s="41" t="s">
        <v>94</v>
      </c>
      <c r="F34" s="41"/>
      <c r="G34" s="46">
        <v>10</v>
      </c>
      <c r="I34" s="40" t="str">
        <f t="shared" si="3"/>
        <v/>
      </c>
      <c r="K34" s="105"/>
      <c r="L34" s="38"/>
      <c r="M34" s="7" t="s">
        <v>23</v>
      </c>
      <c r="O34" s="67"/>
      <c r="P34" s="67"/>
      <c r="Q34" s="67"/>
      <c r="R34" s="39">
        <v>40</v>
      </c>
      <c r="S34" s="39"/>
      <c r="T34" s="46">
        <v>5</v>
      </c>
      <c r="U34" s="39"/>
      <c r="V34" s="68"/>
      <c r="W34" s="106"/>
    </row>
    <row r="35" spans="1:48" ht="15.95" customHeight="1">
      <c r="A35" s="74"/>
      <c r="B35" s="31"/>
      <c r="C35" s="7" t="s">
        <v>27</v>
      </c>
      <c r="D35" s="73"/>
      <c r="E35" s="41" t="s">
        <v>87</v>
      </c>
      <c r="F35" s="41"/>
      <c r="G35" s="46">
        <v>10</v>
      </c>
      <c r="H35" s="7"/>
      <c r="I35" s="40" t="str">
        <f t="shared" si="3"/>
        <v/>
      </c>
      <c r="J35" s="7"/>
      <c r="K35" s="105"/>
      <c r="L35" s="38"/>
      <c r="M35" s="7" t="s">
        <v>61</v>
      </c>
      <c r="N35" s="7"/>
      <c r="O35" s="67"/>
      <c r="P35" s="67"/>
      <c r="Q35" s="67"/>
      <c r="R35" s="41" t="s">
        <v>83</v>
      </c>
      <c r="S35" s="41"/>
      <c r="T35" s="75">
        <v>0.1</v>
      </c>
      <c r="U35" s="39"/>
      <c r="V35" s="68" t="str">
        <f>IF(L35="","",L35*15*T35)</f>
        <v/>
      </c>
      <c r="W35" s="106"/>
      <c r="X35" s="7"/>
    </row>
    <row r="36" spans="1:48" s="7" customFormat="1" ht="15.95" customHeight="1">
      <c r="A36" s="74"/>
      <c r="C36" s="7" t="s">
        <v>75</v>
      </c>
      <c r="D36" s="73"/>
      <c r="E36" s="41"/>
      <c r="F36" s="41"/>
      <c r="G36" s="117">
        <v>0.1</v>
      </c>
      <c r="H36" s="41"/>
      <c r="I36" s="40" t="str">
        <f t="shared" si="3"/>
        <v/>
      </c>
      <c r="K36" s="105"/>
      <c r="L36" s="38"/>
      <c r="M36" s="7" t="s">
        <v>25</v>
      </c>
      <c r="O36" s="67"/>
      <c r="P36" s="67"/>
      <c r="Q36" s="67"/>
      <c r="R36" s="39">
        <v>10</v>
      </c>
      <c r="S36" s="39"/>
      <c r="T36" s="40">
        <v>0</v>
      </c>
      <c r="U36" s="39"/>
      <c r="V36" s="68" t="str">
        <f>IF(L36="","",L36*T36)</f>
        <v/>
      </c>
      <c r="W36" s="107"/>
      <c r="X36" s="3"/>
    </row>
    <row r="37" spans="1:48" s="7" customFormat="1" ht="15.95" customHeight="1" thickBot="1">
      <c r="A37" s="120"/>
      <c r="B37" s="31"/>
      <c r="C37" s="156" t="s">
        <v>86</v>
      </c>
      <c r="D37" s="156"/>
      <c r="E37" s="41">
        <v>95</v>
      </c>
      <c r="F37" s="33"/>
      <c r="G37" s="100">
        <v>10</v>
      </c>
      <c r="H37" s="33"/>
      <c r="I37" s="127" t="str">
        <f t="shared" si="3"/>
        <v/>
      </c>
      <c r="K37" s="105"/>
      <c r="L37" s="38"/>
      <c r="M37" s="7" t="s">
        <v>26</v>
      </c>
      <c r="O37" s="67"/>
      <c r="P37" s="67"/>
      <c r="Q37" s="67"/>
      <c r="R37" s="39">
        <v>300</v>
      </c>
      <c r="S37" s="39"/>
      <c r="T37" s="40">
        <v>20</v>
      </c>
      <c r="U37" s="39"/>
      <c r="V37" s="68" t="str">
        <f>IF(L37="","",L37*T37)</f>
        <v/>
      </c>
      <c r="W37" s="106"/>
    </row>
    <row r="38" spans="1:48" s="7" customFormat="1" ht="15.95" customHeight="1">
      <c r="A38" s="145" t="s">
        <v>62</v>
      </c>
      <c r="B38" s="146"/>
      <c r="C38" s="146"/>
      <c r="D38" s="146"/>
      <c r="E38" s="146"/>
      <c r="F38" s="146"/>
      <c r="G38" s="146"/>
      <c r="H38" s="146"/>
      <c r="I38" s="146"/>
      <c r="J38" s="147"/>
      <c r="K38" s="105"/>
      <c r="L38" s="38"/>
      <c r="M38" s="7" t="s">
        <v>80</v>
      </c>
      <c r="O38" s="67"/>
      <c r="P38" s="67"/>
      <c r="Q38" s="67"/>
      <c r="R38" s="39">
        <v>12</v>
      </c>
      <c r="S38" s="39"/>
      <c r="T38" s="40">
        <v>2</v>
      </c>
      <c r="U38" s="39"/>
      <c r="V38" s="68"/>
      <c r="W38" s="106"/>
      <c r="AN38" s="33"/>
      <c r="AO38" s="32"/>
      <c r="AP38" s="33"/>
      <c r="AR38" s="41"/>
      <c r="AS38" s="32"/>
      <c r="AT38" s="48"/>
      <c r="AU38" s="32"/>
      <c r="AV38" s="79"/>
    </row>
    <row r="39" spans="1:48" s="7" customFormat="1" ht="15.95" customHeight="1">
      <c r="A39" s="121"/>
      <c r="C39" s="7" t="s">
        <v>63</v>
      </c>
      <c r="D39" s="32"/>
      <c r="E39" s="76"/>
      <c r="F39" s="32"/>
      <c r="G39" s="77">
        <v>0.05</v>
      </c>
      <c r="I39" s="78" t="str">
        <f>IF(A39="","",A39*E39*G39)</f>
        <v/>
      </c>
      <c r="J39" s="106"/>
      <c r="K39" s="105"/>
      <c r="L39" s="38"/>
      <c r="M39" s="7" t="s">
        <v>92</v>
      </c>
      <c r="O39" s="67"/>
      <c r="P39" s="67"/>
      <c r="Q39" s="67"/>
      <c r="R39" s="39">
        <v>40</v>
      </c>
      <c r="S39" s="39"/>
      <c r="T39" s="40">
        <v>5</v>
      </c>
      <c r="U39" s="39"/>
      <c r="V39" s="68" t="str">
        <f>IF(L39="","",L39*T39)</f>
        <v/>
      </c>
      <c r="W39" s="106"/>
    </row>
    <row r="40" spans="1:48" s="7" customFormat="1" ht="15.95" customHeight="1">
      <c r="A40" s="122"/>
      <c r="C40" s="7" t="s">
        <v>64</v>
      </c>
      <c r="D40" s="32"/>
      <c r="E40" s="76"/>
      <c r="F40" s="32"/>
      <c r="G40" s="75">
        <v>0.1</v>
      </c>
      <c r="I40" s="78" t="str">
        <f>IF(A40="","",A40*E40*G40)</f>
        <v/>
      </c>
      <c r="J40" s="106"/>
      <c r="K40" s="105"/>
      <c r="L40" s="38"/>
      <c r="M40" s="156" t="s">
        <v>72</v>
      </c>
      <c r="N40" s="156"/>
      <c r="O40" s="156"/>
      <c r="P40" s="156"/>
      <c r="Q40" s="156"/>
      <c r="R40" s="41" t="s">
        <v>73</v>
      </c>
      <c r="S40" s="80"/>
      <c r="T40" s="77">
        <v>0.1</v>
      </c>
      <c r="U40" s="80"/>
      <c r="V40" s="68" t="str">
        <f>IF(L40="","",L40*R40*T40)</f>
        <v/>
      </c>
      <c r="W40" s="108"/>
      <c r="AN40" s="31"/>
      <c r="AO40" s="33"/>
      <c r="AP40" s="33"/>
      <c r="AQ40" s="33"/>
      <c r="AR40" s="83"/>
      <c r="AS40" s="33"/>
      <c r="AT40" s="84"/>
      <c r="AU40" s="33"/>
      <c r="AV40" s="79"/>
    </row>
    <row r="41" spans="1:48" s="7" customFormat="1" ht="17.25" customHeight="1">
      <c r="A41" s="123"/>
      <c r="C41" s="7" t="s">
        <v>65</v>
      </c>
      <c r="G41" s="46">
        <v>5</v>
      </c>
      <c r="I41" s="78" t="str">
        <f>IF(A41="","",A41*G41)</f>
        <v/>
      </c>
      <c r="J41" s="124"/>
      <c r="K41" s="109"/>
      <c r="L41" s="82"/>
      <c r="M41" s="156" t="s">
        <v>72</v>
      </c>
      <c r="N41" s="156"/>
      <c r="O41" s="156"/>
      <c r="P41" s="156"/>
      <c r="Q41" s="156"/>
      <c r="R41" s="41" t="s">
        <v>73</v>
      </c>
      <c r="S41" s="80"/>
      <c r="T41" s="77">
        <v>0.1</v>
      </c>
      <c r="U41" s="80"/>
      <c r="V41" s="68" t="str">
        <f>IF(L41="","",L41*R41*T41)</f>
        <v/>
      </c>
      <c r="W41" s="108"/>
      <c r="AN41" s="33"/>
      <c r="AO41" s="33"/>
      <c r="AP41" s="33"/>
      <c r="AQ41" s="33"/>
      <c r="AR41" s="33"/>
      <c r="AS41" s="33"/>
      <c r="AT41" s="33"/>
      <c r="AU41" s="33"/>
      <c r="AV41" s="33"/>
    </row>
    <row r="42" spans="1:48" s="7" customFormat="1" ht="18.75" customHeight="1">
      <c r="A42" s="122"/>
      <c r="C42" s="7" t="s">
        <v>84</v>
      </c>
      <c r="G42" s="118">
        <v>0.1</v>
      </c>
      <c r="H42" s="41"/>
      <c r="I42" s="78" t="str">
        <f>IF(A42="","",A42*G42)</f>
        <v/>
      </c>
      <c r="J42" s="124"/>
      <c r="K42" s="109"/>
      <c r="L42" s="82"/>
      <c r="M42" s="156" t="s">
        <v>81</v>
      </c>
      <c r="N42" s="156"/>
      <c r="O42" s="156"/>
      <c r="P42" s="156"/>
      <c r="Q42" s="156"/>
      <c r="R42" s="41" t="s">
        <v>73</v>
      </c>
      <c r="S42" s="80"/>
      <c r="T42" s="77"/>
      <c r="U42" s="80"/>
      <c r="V42" s="68" t="str">
        <f>IF(L42="","",L42*T42)</f>
        <v/>
      </c>
      <c r="W42" s="106"/>
      <c r="AN42" s="33"/>
      <c r="AO42" s="33"/>
      <c r="AP42" s="33"/>
      <c r="AQ42" s="33"/>
      <c r="AR42" s="33"/>
      <c r="AS42" s="33"/>
      <c r="AT42" s="33"/>
      <c r="AU42" s="33"/>
      <c r="AV42" s="33"/>
    </row>
    <row r="43" spans="1:48" s="7" customFormat="1" ht="15.95" customHeight="1" thickBot="1">
      <c r="A43" s="128"/>
      <c r="B43" s="129"/>
      <c r="C43" s="112" t="s">
        <v>68</v>
      </c>
      <c r="D43" s="130"/>
      <c r="E43" s="130"/>
      <c r="F43" s="130"/>
      <c r="G43" s="115">
        <v>25</v>
      </c>
      <c r="H43" s="113"/>
      <c r="I43" s="125" t="str">
        <f>IF(A43="","",A43*G43)</f>
        <v/>
      </c>
      <c r="J43" s="116"/>
      <c r="K43" s="110"/>
      <c r="L43" s="99"/>
      <c r="M43" s="111" t="s">
        <v>66</v>
      </c>
      <c r="N43" s="112"/>
      <c r="O43" s="112"/>
      <c r="P43" s="112"/>
      <c r="Q43" s="112"/>
      <c r="R43" s="113">
        <v>150</v>
      </c>
      <c r="S43" s="114"/>
      <c r="T43" s="115">
        <v>30</v>
      </c>
      <c r="U43" s="114"/>
      <c r="V43" s="126">
        <v>30</v>
      </c>
      <c r="W43" s="116"/>
      <c r="AN43" s="3"/>
      <c r="AO43" s="3"/>
      <c r="AP43" s="3"/>
      <c r="AQ43" s="3"/>
      <c r="AR43" s="3"/>
      <c r="AS43" s="3"/>
      <c r="AT43" s="3"/>
      <c r="AU43" s="3"/>
      <c r="AV43" s="3"/>
    </row>
    <row r="44" spans="1:48" s="7" customFormat="1" ht="15.95" customHeight="1">
      <c r="B44" s="2"/>
      <c r="C44" s="3"/>
      <c r="D44" s="3"/>
      <c r="E44" s="3"/>
      <c r="F44" s="3"/>
      <c r="G44" s="3"/>
      <c r="H44" s="3"/>
      <c r="I44" s="3"/>
      <c r="J44" s="3"/>
      <c r="K44" s="81"/>
      <c r="L44" s="85"/>
      <c r="M44" s="85"/>
      <c r="N44" s="1"/>
      <c r="O44" s="85"/>
      <c r="P44" s="85"/>
      <c r="Q44" s="3"/>
      <c r="R44" s="86"/>
      <c r="S44" s="87"/>
      <c r="T44" s="148"/>
      <c r="U44" s="148"/>
      <c r="V44" s="148"/>
    </row>
    <row r="45" spans="1:48" s="7" customFormat="1" ht="15.95" customHeight="1" thickBot="1">
      <c r="A45" s="3"/>
      <c r="B45" s="94"/>
      <c r="C45" s="3"/>
      <c r="D45" s="3"/>
      <c r="E45" s="3"/>
      <c r="F45" s="3"/>
      <c r="G45" s="3"/>
      <c r="H45" s="3"/>
      <c r="I45" s="3"/>
      <c r="J45" s="3"/>
      <c r="L45" s="85"/>
      <c r="M45" s="85"/>
      <c r="N45" s="1"/>
      <c r="O45" s="85"/>
      <c r="P45" s="85"/>
      <c r="Q45" s="3"/>
      <c r="R45" s="86" t="s">
        <v>67</v>
      </c>
      <c r="S45" s="87"/>
      <c r="T45" s="149">
        <f>SUM(I13:I43)+SUM(V11:V43)</f>
        <v>30</v>
      </c>
      <c r="U45" s="149"/>
      <c r="V45" s="149"/>
    </row>
    <row r="46" spans="1:48" s="7" customFormat="1" ht="15.95" customHeight="1" thickBot="1">
      <c r="A46" s="3"/>
      <c r="B46" s="96"/>
      <c r="C46" s="96"/>
      <c r="D46" s="96"/>
      <c r="E46" s="96"/>
      <c r="F46" s="96"/>
      <c r="G46" s="97"/>
      <c r="H46" s="97"/>
      <c r="I46" s="97"/>
      <c r="J46" s="3"/>
      <c r="L46" s="88"/>
      <c r="M46" s="88"/>
      <c r="N46" s="88"/>
      <c r="O46" s="88"/>
      <c r="P46" s="88"/>
      <c r="Q46" s="3"/>
      <c r="R46" s="86" t="s">
        <v>69</v>
      </c>
      <c r="S46" s="87"/>
      <c r="T46" s="103" t="str">
        <f>IF(NumWindows=0,"",TotalCommissions/NumWindows)</f>
        <v/>
      </c>
      <c r="U46" s="103"/>
      <c r="V46" s="103"/>
    </row>
    <row r="47" spans="1:48" s="7" customFormat="1" ht="15.95" customHeight="1">
      <c r="A47" s="3"/>
      <c r="B47" s="96"/>
      <c r="C47" s="96"/>
      <c r="D47" s="96"/>
      <c r="E47" s="96"/>
      <c r="F47" s="96"/>
      <c r="G47" s="97"/>
      <c r="H47" s="97"/>
      <c r="I47" s="97"/>
      <c r="J47" s="3"/>
      <c r="K47" s="3"/>
      <c r="L47" s="150" t="s">
        <v>70</v>
      </c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3"/>
    </row>
    <row r="48" spans="1:48" s="7" customFormat="1" ht="15.95" customHeight="1">
      <c r="A48" s="3"/>
      <c r="B48" s="96"/>
      <c r="C48" s="96"/>
      <c r="D48" s="96"/>
      <c r="E48" s="96"/>
      <c r="F48" s="96"/>
      <c r="G48" s="97"/>
      <c r="H48" s="97"/>
      <c r="I48" s="97"/>
      <c r="J48" s="33"/>
      <c r="K48" s="3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3"/>
    </row>
    <row r="49" spans="1:24" s="7" customFormat="1" ht="15.95" customHeight="1">
      <c r="A49" s="3"/>
      <c r="B49" s="96"/>
      <c r="C49" s="96"/>
      <c r="D49" s="96"/>
      <c r="E49" s="96"/>
      <c r="F49" s="96"/>
      <c r="G49" s="97"/>
      <c r="H49" s="97"/>
      <c r="I49" s="97"/>
      <c r="J49" s="33"/>
      <c r="K49" s="3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3"/>
    </row>
    <row r="50" spans="1:24" s="7" customFormat="1" ht="16.5" customHeight="1">
      <c r="A50" s="3"/>
      <c r="B50" s="96"/>
      <c r="C50" s="96"/>
      <c r="D50" s="3"/>
      <c r="E50" s="96"/>
      <c r="F50" s="96"/>
      <c r="G50" s="97"/>
      <c r="H50" s="97"/>
      <c r="I50" s="97"/>
      <c r="J50" s="33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3"/>
    </row>
    <row r="51" spans="1:24" ht="21" customHeight="1">
      <c r="A51" s="90" t="s">
        <v>71</v>
      </c>
      <c r="B51" s="96"/>
      <c r="C51" s="96"/>
      <c r="D51" s="96"/>
      <c r="E51" s="96"/>
      <c r="F51" s="96"/>
      <c r="G51" s="97"/>
      <c r="H51" s="97"/>
      <c r="I51" s="97"/>
      <c r="J51" s="33"/>
      <c r="K51" s="1"/>
      <c r="M51" s="85"/>
      <c r="N51" s="85"/>
      <c r="O51" s="85"/>
      <c r="P51" s="85"/>
      <c r="Q51" s="91"/>
      <c r="R51" s="91"/>
      <c r="V51" s="92" t="s">
        <v>95</v>
      </c>
      <c r="W51" s="89"/>
      <c r="X51" s="93"/>
    </row>
    <row r="52" spans="1:24" ht="15.95" customHeight="1">
      <c r="A52" s="3"/>
      <c r="B52" s="96"/>
      <c r="C52" s="96"/>
      <c r="D52" s="96"/>
      <c r="E52" s="96"/>
      <c r="F52" s="96"/>
      <c r="G52" s="97"/>
      <c r="H52" s="97"/>
      <c r="I52" s="97"/>
      <c r="J52" s="33"/>
      <c r="K52" s="1"/>
      <c r="L52" s="93"/>
      <c r="M52" s="95"/>
      <c r="Q52" s="32"/>
      <c r="R52" s="32"/>
      <c r="S52" s="89"/>
      <c r="T52" s="89"/>
      <c r="U52" s="89"/>
      <c r="V52" s="89"/>
      <c r="W52" s="89"/>
      <c r="X52" s="93"/>
    </row>
    <row r="53" spans="1:24" ht="17.649999999999999">
      <c r="A53" s="3"/>
      <c r="B53" s="96"/>
      <c r="C53" s="96"/>
      <c r="D53" s="96"/>
      <c r="E53" s="96"/>
      <c r="F53" s="96"/>
      <c r="G53" s="97"/>
      <c r="H53" s="97"/>
      <c r="I53" s="97"/>
      <c r="J53" s="33"/>
      <c r="M53" s="85"/>
      <c r="N53" s="85"/>
      <c r="O53" s="85"/>
      <c r="P53" s="85"/>
      <c r="Q53" s="91"/>
      <c r="W53" s="89"/>
      <c r="X53" s="98"/>
    </row>
    <row r="54" spans="1:24" ht="15">
      <c r="A54" s="3"/>
      <c r="B54" s="96"/>
      <c r="C54" s="96"/>
      <c r="D54" s="96"/>
      <c r="E54" s="96"/>
      <c r="F54" s="96"/>
      <c r="G54" s="97"/>
      <c r="H54" s="97"/>
      <c r="I54" s="97"/>
      <c r="J54" s="33"/>
      <c r="K54" s="1"/>
      <c r="L54" s="93"/>
      <c r="M54" s="95"/>
      <c r="Q54" s="32"/>
      <c r="R54" s="32"/>
      <c r="S54" s="89"/>
      <c r="T54" s="89"/>
      <c r="U54" s="89"/>
      <c r="V54" s="89"/>
      <c r="W54" s="89"/>
      <c r="X54" s="93"/>
    </row>
    <row r="55" spans="1:24" ht="15">
      <c r="A55" s="3"/>
      <c r="B55" s="96"/>
      <c r="C55" s="96"/>
      <c r="D55" s="96"/>
      <c r="E55" s="96"/>
      <c r="F55" s="96"/>
      <c r="G55" s="97"/>
      <c r="H55" s="97"/>
      <c r="I55" s="97"/>
      <c r="J55" s="33"/>
      <c r="K55" s="1"/>
      <c r="L55" s="93"/>
      <c r="M55" s="95"/>
      <c r="Q55" s="32"/>
      <c r="R55" s="32"/>
      <c r="S55" s="89"/>
      <c r="T55" s="89"/>
      <c r="U55" s="89"/>
      <c r="V55" s="89"/>
      <c r="W55" s="89"/>
      <c r="X55" s="93"/>
    </row>
    <row r="56" spans="1:24" ht="15">
      <c r="A56" s="3"/>
      <c r="B56" s="96"/>
      <c r="C56" s="96"/>
      <c r="D56" s="96"/>
      <c r="E56" s="96"/>
      <c r="F56" s="96"/>
      <c r="G56" s="97"/>
      <c r="H56" s="97"/>
      <c r="I56" s="97"/>
      <c r="J56" s="33"/>
      <c r="K56" s="1"/>
      <c r="L56" s="93"/>
      <c r="M56" s="95"/>
      <c r="Q56" s="32"/>
      <c r="R56" s="32"/>
      <c r="S56" s="89"/>
      <c r="T56" s="89"/>
      <c r="U56" s="89"/>
      <c r="V56" s="89"/>
      <c r="W56" s="89"/>
      <c r="X56" s="93"/>
    </row>
    <row r="57" spans="1:24" ht="15">
      <c r="A57" s="3"/>
      <c r="B57" s="96"/>
      <c r="C57" s="96"/>
      <c r="D57" s="96"/>
      <c r="E57" s="96"/>
      <c r="F57" s="96"/>
      <c r="G57" s="97"/>
      <c r="H57" s="97"/>
      <c r="I57" s="97"/>
      <c r="J57" s="33"/>
      <c r="K57" s="1"/>
      <c r="L57" s="93"/>
      <c r="M57" s="95"/>
      <c r="Q57" s="32"/>
      <c r="R57" s="32"/>
      <c r="S57" s="89"/>
      <c r="T57" s="89"/>
      <c r="U57" s="89"/>
      <c r="V57" s="89"/>
      <c r="W57" s="89"/>
      <c r="X57" s="93"/>
    </row>
    <row r="58" spans="1:24" ht="15">
      <c r="A58" s="3"/>
      <c r="B58" s="96"/>
      <c r="C58" s="96"/>
      <c r="D58" s="96"/>
      <c r="E58" s="96"/>
      <c r="F58" s="96"/>
      <c r="G58" s="97"/>
      <c r="H58" s="97"/>
      <c r="I58" s="97"/>
      <c r="J58" s="33"/>
      <c r="K58" s="1"/>
      <c r="L58" s="93"/>
      <c r="M58" s="95"/>
      <c r="Q58" s="32"/>
      <c r="R58" s="32"/>
      <c r="S58" s="89"/>
      <c r="T58" s="89"/>
      <c r="U58" s="89"/>
      <c r="V58" s="89"/>
      <c r="W58" s="89"/>
      <c r="X58" s="93"/>
    </row>
    <row r="59" spans="1:24" ht="15">
      <c r="A59" s="3"/>
      <c r="B59" s="96"/>
      <c r="C59" s="96"/>
      <c r="D59" s="96"/>
      <c r="E59" s="96"/>
      <c r="F59" s="96"/>
      <c r="G59" s="97"/>
      <c r="H59" s="97"/>
      <c r="I59" s="97"/>
      <c r="J59" s="33"/>
      <c r="K59" s="1"/>
      <c r="L59" s="93"/>
      <c r="M59" s="95"/>
      <c r="Q59" s="32"/>
      <c r="R59" s="32"/>
      <c r="S59" s="89"/>
      <c r="T59" s="89"/>
      <c r="U59" s="89"/>
      <c r="V59" s="89"/>
      <c r="W59" s="89"/>
      <c r="X59" s="93"/>
    </row>
    <row r="60" spans="1:24" ht="15">
      <c r="A60" s="3"/>
      <c r="B60" s="96"/>
      <c r="C60" s="96"/>
      <c r="D60" s="96"/>
      <c r="E60" s="96"/>
      <c r="F60" s="96"/>
      <c r="G60" s="97"/>
      <c r="H60" s="97"/>
      <c r="I60" s="97"/>
      <c r="J60" s="33"/>
      <c r="K60" s="1"/>
      <c r="L60" s="93"/>
      <c r="M60" s="95"/>
      <c r="Q60" s="32"/>
      <c r="R60" s="32"/>
      <c r="S60" s="89"/>
      <c r="T60" s="89"/>
      <c r="U60" s="89"/>
      <c r="V60" s="89"/>
      <c r="W60" s="89"/>
      <c r="X60" s="93"/>
    </row>
    <row r="61" spans="1:24" ht="15">
      <c r="A61" s="3"/>
      <c r="B61" s="96"/>
      <c r="C61" s="96"/>
      <c r="D61" s="96"/>
      <c r="E61" s="96"/>
      <c r="F61" s="96"/>
      <c r="G61" s="97"/>
      <c r="H61" s="97"/>
      <c r="I61" s="97"/>
      <c r="J61" s="33"/>
      <c r="K61" s="1"/>
      <c r="L61" s="93"/>
      <c r="M61" s="95"/>
      <c r="Q61" s="32"/>
      <c r="R61" s="32"/>
      <c r="S61" s="89"/>
      <c r="T61" s="89"/>
      <c r="U61" s="89"/>
      <c r="V61" s="89"/>
      <c r="W61" s="89"/>
      <c r="X61" s="93"/>
    </row>
    <row r="62" spans="1:24" ht="15">
      <c r="J62" s="33"/>
      <c r="K62" s="1"/>
      <c r="L62" s="93"/>
      <c r="M62" s="95"/>
      <c r="Q62" s="32"/>
      <c r="R62" s="32"/>
      <c r="S62" s="89"/>
      <c r="T62" s="89"/>
      <c r="U62" s="89"/>
      <c r="V62" s="89"/>
      <c r="W62" s="89"/>
      <c r="X62" s="93"/>
    </row>
    <row r="63" spans="1:24" ht="15">
      <c r="J63" s="33"/>
      <c r="K63" s="1"/>
      <c r="L63" s="93"/>
      <c r="M63" s="95"/>
      <c r="Q63" s="32"/>
      <c r="R63" s="32"/>
      <c r="S63" s="89"/>
      <c r="T63" s="89"/>
      <c r="U63" s="89"/>
      <c r="V63" s="89"/>
      <c r="W63" s="89"/>
      <c r="X63" s="93"/>
    </row>
    <row r="64" spans="1:24" ht="15">
      <c r="J64" s="33"/>
      <c r="K64" s="1"/>
      <c r="L64" s="93"/>
      <c r="M64" s="95"/>
      <c r="Q64" s="32"/>
      <c r="R64" s="32"/>
      <c r="S64" s="89"/>
      <c r="T64" s="89"/>
      <c r="U64" s="89"/>
      <c r="V64" s="89"/>
      <c r="W64" s="89"/>
      <c r="X64" s="93"/>
    </row>
    <row r="65" spans="11:24" ht="15">
      <c r="K65" s="1"/>
      <c r="L65" s="93"/>
      <c r="M65" s="95"/>
      <c r="Q65" s="32"/>
      <c r="R65" s="32"/>
      <c r="S65" s="89"/>
      <c r="T65" s="89"/>
      <c r="U65" s="89"/>
      <c r="V65" s="89"/>
      <c r="W65" s="89"/>
      <c r="X65" s="93"/>
    </row>
    <row r="66" spans="11:24" ht="15">
      <c r="K66" s="1"/>
      <c r="L66" s="93"/>
      <c r="M66" s="95"/>
      <c r="Q66" s="32"/>
      <c r="R66" s="32"/>
      <c r="S66" s="89"/>
      <c r="T66" s="89"/>
      <c r="U66" s="89"/>
      <c r="V66" s="89"/>
      <c r="W66" s="89"/>
      <c r="X66" s="93"/>
    </row>
    <row r="67" spans="11:24" ht="15">
      <c r="K67" s="1"/>
      <c r="L67" s="93"/>
      <c r="M67" s="95"/>
      <c r="Q67" s="32"/>
      <c r="R67" s="32"/>
      <c r="S67" s="89"/>
      <c r="T67" s="89"/>
      <c r="U67" s="89"/>
      <c r="V67" s="89"/>
      <c r="W67" s="89"/>
      <c r="X67" s="93"/>
    </row>
    <row r="68" spans="11:24" ht="15">
      <c r="L68" s="93"/>
      <c r="M68" s="95"/>
      <c r="Q68" s="32"/>
      <c r="R68" s="32"/>
      <c r="S68" s="89"/>
      <c r="T68" s="89"/>
      <c r="U68" s="89"/>
      <c r="V68" s="89"/>
      <c r="X68" s="93"/>
    </row>
    <row r="69" spans="11:24" ht="13.5">
      <c r="X69" s="93"/>
    </row>
    <row r="70" spans="11:24" ht="13.5">
      <c r="X70" s="93"/>
    </row>
    <row r="71" spans="11:24" ht="13.5">
      <c r="X71" s="93"/>
    </row>
  </sheetData>
  <mergeCells count="32">
    <mergeCell ref="A1:V3"/>
    <mergeCell ref="K4:N4"/>
    <mergeCell ref="T4:V4"/>
    <mergeCell ref="N5:O5"/>
    <mergeCell ref="S5:V5"/>
    <mergeCell ref="D6:I6"/>
    <mergeCell ref="O6:P6"/>
    <mergeCell ref="M40:Q40"/>
    <mergeCell ref="M41:Q41"/>
    <mergeCell ref="L49:V49"/>
    <mergeCell ref="D7:I7"/>
    <mergeCell ref="T7:V7"/>
    <mergeCell ref="M42:Q42"/>
    <mergeCell ref="C37:D37"/>
    <mergeCell ref="M21:Q21"/>
    <mergeCell ref="Q6:R6"/>
    <mergeCell ref="S6:V6"/>
    <mergeCell ref="K10:W10"/>
    <mergeCell ref="T8:V8"/>
    <mergeCell ref="A10:J10"/>
    <mergeCell ref="M20:Q20"/>
    <mergeCell ref="F8:I8"/>
    <mergeCell ref="L47:V47"/>
    <mergeCell ref="C27:D27"/>
    <mergeCell ref="A29:J29"/>
    <mergeCell ref="K25:W25"/>
    <mergeCell ref="L50:V50"/>
    <mergeCell ref="A38:J38"/>
    <mergeCell ref="T44:V44"/>
    <mergeCell ref="T45:V45"/>
    <mergeCell ref="C25:D25"/>
    <mergeCell ref="L48:V48"/>
  </mergeCells>
  <printOptions horizontalCentered="1"/>
  <pageMargins left="0.5" right="0.25" top="0.5" bottom="0.25" header="0.51180555555555551" footer="0.51180555555555551"/>
  <pageSetup scale="90" firstPageNumber="0" orientation="portrait" horizontalDpi="300" verticalDpi="300" r:id="rId1"/>
  <headerFooter alignWithMargins="0"/>
  <ignoredErrors>
    <ignoredError sqref="C25 C2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Commission</vt:lpstr>
      <vt:lpstr>EntryDoorQty</vt:lpstr>
      <vt:lpstr>ImpactWindowsQty</vt:lpstr>
      <vt:lpstr>NumWindows</vt:lpstr>
      <vt:lpstr>Commission!Print_Area</vt:lpstr>
      <vt:lpstr>StormDoorQty</vt:lpstr>
      <vt:lpstr>TotalCommissions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Manuel</dc:creator>
  <cp:lastModifiedBy>Heath Manuel</cp:lastModifiedBy>
  <cp:lastPrinted>2017-10-11T13:54:15Z</cp:lastPrinted>
  <dcterms:created xsi:type="dcterms:W3CDTF">2011-12-02T22:06:19Z</dcterms:created>
  <dcterms:modified xsi:type="dcterms:W3CDTF">2024-09-05T16:16:28Z</dcterms:modified>
</cp:coreProperties>
</file>