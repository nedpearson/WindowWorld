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defaultThemeVersion="124226"/>
  <xr:revisionPtr revIDLastSave="0" documentId="13_ncr:1_{027E339E-2A00-479C-8DCC-25279AC19BE3}" xr6:coauthVersionLast="47" xr6:coauthVersionMax="47" xr10:uidLastSave="{00000000-0000-0000-0000-000000000000}"/>
  <bookViews>
    <workbookView xWindow="-98" yWindow="-98" windowWidth="21795" windowHeight="13875" tabRatio="743" xr2:uid="{00000000-000D-0000-FFFF-FFFF00000000}"/>
  </bookViews>
  <sheets>
    <sheet name="Price Aid" sheetId="10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0" l="1"/>
  <c r="E19" i="10"/>
  <c r="E15" i="10"/>
  <c r="E21" i="10"/>
  <c r="E23" i="10"/>
  <c r="E9" i="10"/>
  <c r="E13" i="10"/>
  <c r="E11" i="10"/>
  <c r="E6" i="10"/>
  <c r="E5" i="10"/>
</calcChain>
</file>

<file path=xl/sharedStrings.xml><?xml version="1.0" encoding="utf-8"?>
<sst xmlns="http://schemas.openxmlformats.org/spreadsheetml/2006/main" count="22" uniqueCount="22">
  <si>
    <t>Window World Project Estimate</t>
  </si>
  <si>
    <t>50% upon completion</t>
  </si>
  <si>
    <t>(total X 0.013252 for monthly payment)</t>
  </si>
  <si>
    <t>(total X 0.020406 for monthly payment)</t>
  </si>
  <si>
    <t>Create a finance account at WWW.WINWORLDINFO.COM. Click on finance tab for secured application</t>
  </si>
  <si>
    <t>(total  / 15 months)</t>
  </si>
  <si>
    <t>(total / 18 months )</t>
  </si>
  <si>
    <t>(total  / 6 months)</t>
  </si>
  <si>
    <t>(total X 0.015228 for monthly payment)</t>
  </si>
  <si>
    <t xml:space="preserve"> Total Price</t>
  </si>
  <si>
    <t xml:space="preserve">                      50% down                          </t>
  </si>
  <si>
    <t>Rep name and number</t>
  </si>
  <si>
    <t>(total / 24 months )</t>
  </si>
  <si>
    <t>(total X 0.031249 for monthly payment)</t>
  </si>
  <si>
    <r>
      <rPr>
        <sz val="12"/>
        <color theme="1"/>
        <rFont val="Calibri"/>
        <family val="2"/>
        <scheme val="minor"/>
      </rPr>
      <t xml:space="preserve">6 months @ 0% interest        (Min $800)                                       </t>
    </r>
    <r>
      <rPr>
        <sz val="10"/>
        <color theme="1"/>
        <rFont val="Calibri"/>
        <family val="2"/>
        <scheme val="minor"/>
      </rPr>
      <t xml:space="preserve">Plan Code 1145 </t>
    </r>
  </si>
  <si>
    <r>
      <rPr>
        <sz val="12"/>
        <color theme="1"/>
        <rFont val="Calibri"/>
        <family val="2"/>
        <scheme val="minor"/>
      </rPr>
      <t xml:space="preserve">15 months @ 0% interest       (Min $2000)                              </t>
    </r>
    <r>
      <rPr>
        <sz val="10"/>
        <color theme="1"/>
        <rFont val="Calibri"/>
        <family val="2"/>
        <scheme val="minor"/>
      </rPr>
      <t>Plan Code 2318</t>
    </r>
  </si>
  <si>
    <r>
      <rPr>
        <sz val="12"/>
        <color theme="1"/>
        <rFont val="Calibri"/>
        <family val="2"/>
        <scheme val="minor"/>
      </rPr>
      <t>18 months @ 0% interest       Promotional-(Min $3000)</t>
    </r>
    <r>
      <rPr>
        <sz val="10"/>
        <color theme="1"/>
        <rFont val="Calibri"/>
        <family val="2"/>
        <scheme val="minor"/>
      </rPr>
      <t xml:space="preserve">                                      Plan code 1064 </t>
    </r>
  </si>
  <si>
    <r>
      <rPr>
        <sz val="12"/>
        <color theme="1"/>
        <rFont val="Calibri"/>
        <family val="2"/>
        <scheme val="minor"/>
      </rPr>
      <t>24 months @ 0% interest      Promotional-(Min $4000)</t>
    </r>
    <r>
      <rPr>
        <sz val="10"/>
        <color theme="1"/>
        <rFont val="Calibri"/>
        <family val="2"/>
        <scheme val="minor"/>
      </rPr>
      <t xml:space="preserve">                                      Plan code 4020 </t>
    </r>
  </si>
  <si>
    <r>
      <rPr>
        <sz val="12"/>
        <color theme="1"/>
        <rFont val="Calibri"/>
        <family val="2"/>
        <scheme val="minor"/>
      </rPr>
      <t>36 months @ 6.99% interest (Min $3000)</t>
    </r>
    <r>
      <rPr>
        <sz val="14"/>
        <color theme="1"/>
        <rFont val="Calibri"/>
        <family val="2"/>
        <scheme val="minor"/>
      </rPr>
      <t xml:space="preserve">                           </t>
    </r>
    <r>
      <rPr>
        <sz val="10"/>
        <color theme="1"/>
        <rFont val="Calibri"/>
        <family val="2"/>
        <scheme val="minor"/>
      </rPr>
      <t xml:space="preserve">Plan Code 2317 </t>
    </r>
  </si>
  <si>
    <r>
      <rPr>
        <sz val="12"/>
        <color theme="1"/>
        <rFont val="Calibri"/>
        <family val="2"/>
        <scheme val="minor"/>
      </rPr>
      <t>60 months @ 7.99% interest (Min $4500)</t>
    </r>
    <r>
      <rPr>
        <sz val="14"/>
        <color theme="1"/>
        <rFont val="Calibri"/>
        <family val="2"/>
        <scheme val="minor"/>
      </rPr>
      <t xml:space="preserve">                           </t>
    </r>
    <r>
      <rPr>
        <sz val="10"/>
        <color theme="1"/>
        <rFont val="Calibri"/>
        <family val="2"/>
        <scheme val="minor"/>
      </rPr>
      <t xml:space="preserve">Plan Code 4357 </t>
    </r>
  </si>
  <si>
    <r>
      <rPr>
        <sz val="12"/>
        <color theme="1"/>
        <rFont val="Calibri"/>
        <family val="2"/>
        <scheme val="minor"/>
      </rPr>
      <t xml:space="preserve">96 months @ 9.99% interest (Min $7500) </t>
    </r>
    <r>
      <rPr>
        <sz val="10"/>
        <color theme="1"/>
        <rFont val="Calibri"/>
        <family val="2"/>
        <scheme val="minor"/>
      </rPr>
      <t xml:space="preserve">                                     Plan Code 3669</t>
    </r>
  </si>
  <si>
    <r>
      <rPr>
        <sz val="12"/>
        <color theme="1"/>
        <rFont val="Calibri"/>
        <family val="2"/>
        <scheme val="minor"/>
      </rPr>
      <t xml:space="preserve">120 months @ 9.99% interest (Min $7500) </t>
    </r>
    <r>
      <rPr>
        <sz val="10"/>
        <color theme="1"/>
        <rFont val="Calibri"/>
        <family val="2"/>
        <scheme val="minor"/>
      </rPr>
      <t xml:space="preserve">                                     Plan Code 1635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</si>
</sst>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indexed="8"/>
      <name val="Calibri"/>
      <family val="2"/>
    </font>
    <font>
      <i/>
      <sz val="36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16"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wrapText="1"/>
    </xf>
    <xf numFmtId="44" fontId="4" fillId="0" borderId="2" xfId="1" applyFont="1" applyBorder="1"/>
    <xf numFmtId="44" fontId="4" fillId="0" borderId="1" xfId="1" applyFont="1" applyBorder="1"/>
    <xf numFmtId="0" fontId="4" fillId="0" borderId="0" xfId="0" applyFont="1"/>
    <xf numFmtId="0" fontId="0" fillId="0" borderId="0" xfId="0" applyAlignment="1">
      <alignment horizontal="center" wrapText="1"/>
    </xf>
    <xf numFmtId="44" fontId="4" fillId="2" borderId="2" xfId="1" applyFont="1" applyFill="1" applyBorder="1"/>
    <xf numFmtId="44" fontId="4" fillId="0" borderId="0" xfId="1" applyFont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topLeftCell="A12" zoomScale="121" zoomScaleNormal="121" workbookViewId="0">
      <selection activeCell="A23" sqref="A23:C23"/>
    </sheetView>
  </sheetViews>
  <sheetFormatPr defaultRowHeight="14.25" x14ac:dyDescent="0.45"/>
  <cols>
    <col min="3" max="3" width="9.86328125" customWidth="1"/>
    <col min="4" max="4" width="3.3984375" customWidth="1"/>
    <col min="5" max="5" width="23.3984375" customWidth="1"/>
    <col min="6" max="6" width="3.73046875" customWidth="1"/>
    <col min="7" max="7" width="11.86328125" customWidth="1"/>
    <col min="8" max="8" width="21" customWidth="1"/>
    <col min="9" max="9" width="9.1328125" hidden="1" customWidth="1"/>
    <col min="10" max="10" width="3.73046875" customWidth="1"/>
  </cols>
  <sheetData>
    <row r="1" spans="1:10" ht="54" customHeight="1" x14ac:dyDescent="1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9.75" customHeight="1" thickBot="1" x14ac:dyDescent="0.5"/>
    <row r="3" spans="1:10" ht="52.5" customHeight="1" thickBot="1" x14ac:dyDescent="0.8">
      <c r="A3" s="12"/>
      <c r="B3" s="12"/>
      <c r="C3" s="12"/>
      <c r="E3" s="3"/>
      <c r="G3" s="6"/>
      <c r="H3" s="8"/>
    </row>
    <row r="4" spans="1:10" ht="39" customHeight="1" thickBot="1" x14ac:dyDescent="0.8">
      <c r="A4" s="15" t="s">
        <v>9</v>
      </c>
      <c r="B4" s="15"/>
      <c r="C4" s="15"/>
      <c r="E4" s="7">
        <v>10000</v>
      </c>
    </row>
    <row r="5" spans="1:10" ht="56.25" customHeight="1" thickBot="1" x14ac:dyDescent="0.8">
      <c r="A5" s="15" t="s">
        <v>10</v>
      </c>
      <c r="B5" s="15"/>
      <c r="C5" s="15"/>
      <c r="E5" s="4">
        <f>E4/2</f>
        <v>5000</v>
      </c>
    </row>
    <row r="6" spans="1:10" ht="55.5" customHeight="1" thickBot="1" x14ac:dyDescent="0.8">
      <c r="A6" s="15" t="s">
        <v>1</v>
      </c>
      <c r="B6" s="15"/>
      <c r="C6" s="15"/>
      <c r="E6" s="3">
        <f>E4/2</f>
        <v>5000</v>
      </c>
    </row>
    <row r="7" spans="1:10" ht="16.5" customHeight="1" x14ac:dyDescent="0.75">
      <c r="A7" s="1"/>
      <c r="B7" s="1"/>
      <c r="E7" s="5"/>
    </row>
    <row r="8" spans="1:10" ht="55.5" customHeight="1" x14ac:dyDescent="0.75">
      <c r="A8" s="9"/>
      <c r="B8" s="9"/>
      <c r="C8" s="9"/>
      <c r="E8" s="8"/>
    </row>
    <row r="9" spans="1:10" ht="57" customHeight="1" thickBot="1" x14ac:dyDescent="0.8">
      <c r="A9" s="12" t="s">
        <v>14</v>
      </c>
      <c r="B9" s="12"/>
      <c r="C9" s="12"/>
      <c r="E9" s="4">
        <f>E4/6</f>
        <v>1666.6666666666667</v>
      </c>
      <c r="G9" t="s">
        <v>7</v>
      </c>
    </row>
    <row r="10" spans="1:10" ht="16.5" customHeight="1" x14ac:dyDescent="0.75">
      <c r="A10" s="1"/>
      <c r="B10" s="1"/>
      <c r="E10" s="5"/>
    </row>
    <row r="11" spans="1:10" ht="57" customHeight="1" thickBot="1" x14ac:dyDescent="0.8">
      <c r="A11" s="12" t="s">
        <v>15</v>
      </c>
      <c r="B11" s="12"/>
      <c r="C11" s="12"/>
      <c r="E11" s="4">
        <f>E4/15</f>
        <v>666.66666666666663</v>
      </c>
      <c r="G11" t="s">
        <v>5</v>
      </c>
    </row>
    <row r="12" spans="1:10" ht="14.25" customHeight="1" x14ac:dyDescent="0.75">
      <c r="A12" s="9"/>
      <c r="B12" s="9"/>
      <c r="C12" s="10"/>
      <c r="E12" s="5"/>
    </row>
    <row r="13" spans="1:10" ht="58.5" customHeight="1" thickBot="1" x14ac:dyDescent="0.8">
      <c r="A13" s="12" t="s">
        <v>16</v>
      </c>
      <c r="B13" s="12"/>
      <c r="C13" s="12"/>
      <c r="E13" s="4">
        <f>E4/18</f>
        <v>555.55555555555554</v>
      </c>
      <c r="G13" t="s">
        <v>6</v>
      </c>
    </row>
    <row r="14" spans="1:10" ht="14.25" customHeight="1" x14ac:dyDescent="0.75">
      <c r="A14" s="9"/>
      <c r="B14" s="9"/>
      <c r="C14" s="10"/>
      <c r="E14" s="5"/>
    </row>
    <row r="15" spans="1:10" ht="58.5" customHeight="1" thickBot="1" x14ac:dyDescent="0.8">
      <c r="A15" s="12" t="s">
        <v>17</v>
      </c>
      <c r="B15" s="12"/>
      <c r="C15" s="12"/>
      <c r="E15" s="4">
        <f>E4/24</f>
        <v>416.66666666666669</v>
      </c>
      <c r="G15" t="s">
        <v>12</v>
      </c>
    </row>
    <row r="16" spans="1:10" ht="14.25" customHeight="1" x14ac:dyDescent="0.75">
      <c r="A16" s="9"/>
      <c r="B16" s="9"/>
      <c r="C16" s="10"/>
      <c r="E16" s="5"/>
    </row>
    <row r="17" spans="1:10" ht="58.9" customHeight="1" thickBot="1" x14ac:dyDescent="0.8">
      <c r="A17" s="12" t="s">
        <v>18</v>
      </c>
      <c r="B17" s="12"/>
      <c r="C17" s="12"/>
      <c r="E17" s="4">
        <f>E4*0.031249</f>
        <v>312.49</v>
      </c>
      <c r="G17" t="s">
        <v>13</v>
      </c>
    </row>
    <row r="18" spans="1:10" ht="14.25" customHeight="1" x14ac:dyDescent="0.75">
      <c r="A18" s="9"/>
      <c r="B18" s="9"/>
      <c r="C18" s="10"/>
      <c r="E18" s="5"/>
    </row>
    <row r="19" spans="1:10" ht="58.9" customHeight="1" thickBot="1" x14ac:dyDescent="0.8">
      <c r="A19" s="12" t="s">
        <v>19</v>
      </c>
      <c r="B19" s="12"/>
      <c r="C19" s="12"/>
      <c r="E19" s="4">
        <f>E4*0.020406</f>
        <v>204.06</v>
      </c>
      <c r="G19" t="s">
        <v>3</v>
      </c>
    </row>
    <row r="20" spans="1:10" ht="18" customHeight="1" x14ac:dyDescent="0.75">
      <c r="A20" s="9"/>
      <c r="B20" s="9"/>
      <c r="C20" s="10"/>
      <c r="E20" s="5"/>
    </row>
    <row r="21" spans="1:10" ht="56.65" customHeight="1" thickBot="1" x14ac:dyDescent="0.8">
      <c r="A21" s="12" t="s">
        <v>20</v>
      </c>
      <c r="B21" s="12"/>
      <c r="C21" s="12"/>
      <c r="E21" s="4">
        <f>E4*0.015228</f>
        <v>152.28</v>
      </c>
      <c r="G21" t="s">
        <v>8</v>
      </c>
    </row>
    <row r="22" spans="1:10" ht="18" customHeight="1" x14ac:dyDescent="0.75">
      <c r="A22" s="9"/>
      <c r="B22" s="9"/>
      <c r="C22" s="10"/>
      <c r="E22" s="5"/>
    </row>
    <row r="23" spans="1:10" ht="56.65" customHeight="1" thickBot="1" x14ac:dyDescent="0.8">
      <c r="A23" s="12" t="s">
        <v>21</v>
      </c>
      <c r="B23" s="12"/>
      <c r="C23" s="12"/>
      <c r="E23" s="4">
        <f>E4*0.013252</f>
        <v>132.52000000000001</v>
      </c>
      <c r="G23" t="s">
        <v>2</v>
      </c>
    </row>
    <row r="24" spans="1:10" ht="40.5" customHeight="1" x14ac:dyDescent="0.45"/>
    <row r="25" spans="1:10" ht="56.25" customHeight="1" x14ac:dyDescent="0.5">
      <c r="A25" s="14" t="s">
        <v>4</v>
      </c>
      <c r="B25" s="14"/>
      <c r="C25" s="14"/>
      <c r="D25" s="14"/>
      <c r="E25" s="14"/>
      <c r="F25" s="14"/>
      <c r="G25" s="14"/>
      <c r="H25" s="14"/>
      <c r="I25" s="14"/>
      <c r="J25" s="14"/>
    </row>
    <row r="26" spans="1:10" ht="18.75" customHeight="1" x14ac:dyDescent="0.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29.25" customHeight="1" x14ac:dyDescent="0.9">
      <c r="A27" s="13" t="s">
        <v>11</v>
      </c>
      <c r="B27" s="13"/>
      <c r="C27" s="13"/>
      <c r="D27" s="13"/>
      <c r="E27" s="13"/>
      <c r="F27" s="13"/>
      <c r="G27" s="13"/>
      <c r="H27" s="13"/>
      <c r="I27" s="13"/>
      <c r="J27" s="13"/>
    </row>
  </sheetData>
  <mergeCells count="15">
    <mergeCell ref="A1:J1"/>
    <mergeCell ref="A13:C13"/>
    <mergeCell ref="A23:C23"/>
    <mergeCell ref="A11:C11"/>
    <mergeCell ref="A27:J27"/>
    <mergeCell ref="A25:J25"/>
    <mergeCell ref="A6:C6"/>
    <mergeCell ref="A3:C3"/>
    <mergeCell ref="A4:C4"/>
    <mergeCell ref="A5:C5"/>
    <mergeCell ref="A19:C19"/>
    <mergeCell ref="A9:C9"/>
    <mergeCell ref="A21:C21"/>
    <mergeCell ref="A15:C15"/>
    <mergeCell ref="A17:C17"/>
  </mergeCells>
  <pageMargins left="0.25" right="0.25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Aid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2026-02-04T20:09:57Z</dcterms:modified>
</cp:coreProperties>
</file>